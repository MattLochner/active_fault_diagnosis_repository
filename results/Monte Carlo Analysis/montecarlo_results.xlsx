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thew Lochner\Engineering\Masters\Code\full_simulation_results\final MonteCarlo\"/>
    </mc:Choice>
  </mc:AlternateContent>
  <xr:revisionPtr revIDLastSave="0" documentId="13_ncr:1_{BD6B04B9-8496-4342-A094-4EABE7669C67}" xr6:coauthVersionLast="47" xr6:coauthVersionMax="47" xr10:uidLastSave="{00000000-0000-0000-0000-000000000000}"/>
  <bookViews>
    <workbookView xWindow="28680" yWindow="-120" windowWidth="29040" windowHeight="15840" activeTab="2" xr2:uid="{9C503B08-B180-4D3C-AF04-58AD0116B345}"/>
  </bookViews>
  <sheets>
    <sheet name="All runs" sheetId="2" r:id="rId1"/>
    <sheet name="Sheet2" sheetId="4" r:id="rId2"/>
    <sheet name="Summary" sheetId="3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5" l="1"/>
  <c r="F8" i="5"/>
  <c r="F7" i="5"/>
  <c r="E8" i="5"/>
  <c r="E7" i="5"/>
  <c r="E6" i="5"/>
  <c r="E5" i="5"/>
  <c r="D8" i="5"/>
  <c r="D7" i="5"/>
  <c r="D6" i="5"/>
  <c r="D5" i="5"/>
  <c r="D4" i="5"/>
  <c r="CN110" i="2"/>
  <c r="CM110" i="2"/>
  <c r="CE110" i="2"/>
  <c r="CD110" i="2"/>
  <c r="BN110" i="2"/>
  <c r="BM110" i="2"/>
  <c r="BF110" i="2"/>
  <c r="BE110" i="2"/>
  <c r="AX110" i="2"/>
  <c r="AW110" i="2"/>
  <c r="AP110" i="2"/>
  <c r="AO110" i="2"/>
  <c r="AI110" i="2"/>
  <c r="AH110" i="2"/>
  <c r="AB110" i="2"/>
  <c r="AA110" i="2"/>
  <c r="U110" i="2"/>
  <c r="T110" i="2"/>
  <c r="N110" i="2"/>
  <c r="M110" i="2"/>
  <c r="G110" i="2"/>
  <c r="F110" i="2"/>
  <c r="CM109" i="2"/>
  <c r="CM108" i="2"/>
  <c r="CM107" i="2"/>
  <c r="CM106" i="2"/>
  <c r="CM105" i="2"/>
  <c r="CM104" i="2"/>
  <c r="CM103" i="2"/>
  <c r="CN103" i="2"/>
  <c r="N4" i="3"/>
  <c r="BV110" i="2"/>
  <c r="BU110" i="2"/>
  <c r="CN109" i="2"/>
  <c r="CN108" i="2"/>
  <c r="CN107" i="2"/>
  <c r="CN106" i="2"/>
  <c r="CN105" i="2"/>
  <c r="CN104" i="2"/>
  <c r="CE109" i="2"/>
  <c r="CD109" i="2"/>
  <c r="CE108" i="2"/>
  <c r="CD108" i="2"/>
  <c r="CE107" i="2"/>
  <c r="CD107" i="2"/>
  <c r="CE106" i="2"/>
  <c r="CD106" i="2"/>
  <c r="CE105" i="2"/>
  <c r="CD105" i="2"/>
  <c r="CE104" i="2"/>
  <c r="CD104" i="2"/>
  <c r="CE103" i="2"/>
  <c r="CD103" i="2"/>
  <c r="BV109" i="2"/>
  <c r="BU109" i="2"/>
  <c r="BV108" i="2"/>
  <c r="BU108" i="2"/>
  <c r="BV107" i="2"/>
  <c r="BU107" i="2"/>
  <c r="BV106" i="2"/>
  <c r="BU106" i="2"/>
  <c r="BV105" i="2"/>
  <c r="BU105" i="2"/>
  <c r="BV104" i="2"/>
  <c r="BU104" i="2"/>
  <c r="BV103" i="2"/>
  <c r="BU103" i="2"/>
  <c r="BN109" i="2"/>
  <c r="BM109" i="2"/>
  <c r="BN108" i="2"/>
  <c r="BM108" i="2"/>
  <c r="BN107" i="2"/>
  <c r="BM107" i="2"/>
  <c r="BN106" i="2"/>
  <c r="BM106" i="2"/>
  <c r="BN105" i="2"/>
  <c r="BM105" i="2"/>
  <c r="BN104" i="2"/>
  <c r="BM104" i="2"/>
  <c r="BN103" i="2"/>
  <c r="BM103" i="2"/>
  <c r="BF109" i="2"/>
  <c r="BE109" i="2"/>
  <c r="BF108" i="2"/>
  <c r="BE108" i="2"/>
  <c r="BF107" i="2"/>
  <c r="BE107" i="2"/>
  <c r="BF106" i="2"/>
  <c r="BE106" i="2"/>
  <c r="BF105" i="2"/>
  <c r="BE105" i="2"/>
  <c r="BF104" i="2"/>
  <c r="BE104" i="2"/>
  <c r="BF103" i="2"/>
  <c r="BE103" i="2"/>
  <c r="AX109" i="2"/>
  <c r="AW109" i="2"/>
  <c r="AX108" i="2"/>
  <c r="AW108" i="2"/>
  <c r="AX107" i="2"/>
  <c r="AW107" i="2"/>
  <c r="AX106" i="2"/>
  <c r="AW106" i="2"/>
  <c r="AX105" i="2"/>
  <c r="AW105" i="2"/>
  <c r="AX104" i="2"/>
  <c r="AW104" i="2"/>
  <c r="AX103" i="2"/>
  <c r="AW103" i="2"/>
  <c r="AP109" i="2"/>
  <c r="AO109" i="2"/>
  <c r="AP108" i="2"/>
  <c r="AO108" i="2"/>
  <c r="AP107" i="2"/>
  <c r="AO107" i="2"/>
  <c r="AP106" i="2"/>
  <c r="AO106" i="2"/>
  <c r="AP105" i="2"/>
  <c r="AO105" i="2"/>
  <c r="AP104" i="2"/>
  <c r="AO104" i="2"/>
  <c r="AP103" i="2"/>
  <c r="AO103" i="2"/>
  <c r="AI109" i="2"/>
  <c r="AH109" i="2"/>
  <c r="AI108" i="2"/>
  <c r="AH108" i="2"/>
  <c r="AI107" i="2"/>
  <c r="AH107" i="2"/>
  <c r="AI106" i="2"/>
  <c r="AH106" i="2"/>
  <c r="AI105" i="2"/>
  <c r="AH105" i="2"/>
  <c r="AI104" i="2"/>
  <c r="AH104" i="2"/>
  <c r="AI103" i="2"/>
  <c r="AH103" i="2"/>
  <c r="AB109" i="2"/>
  <c r="AA109" i="2"/>
  <c r="AB108" i="2"/>
  <c r="AA108" i="2"/>
  <c r="AB107" i="2"/>
  <c r="AA107" i="2"/>
  <c r="AB106" i="2"/>
  <c r="F7" i="3" s="1"/>
  <c r="AA106" i="2"/>
  <c r="AB105" i="2"/>
  <c r="AA105" i="2"/>
  <c r="AB104" i="2"/>
  <c r="AA104" i="2"/>
  <c r="AB103" i="2"/>
  <c r="AA103" i="2"/>
  <c r="U109" i="2"/>
  <c r="T109" i="2"/>
  <c r="U108" i="2"/>
  <c r="T108" i="2"/>
  <c r="U107" i="2"/>
  <c r="T107" i="2"/>
  <c r="U106" i="2"/>
  <c r="T106" i="2"/>
  <c r="U105" i="2"/>
  <c r="T105" i="2"/>
  <c r="U104" i="2"/>
  <c r="T104" i="2"/>
  <c r="U103" i="2"/>
  <c r="T103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G109" i="2"/>
  <c r="G108" i="2"/>
  <c r="G107" i="2"/>
  <c r="G106" i="2"/>
  <c r="G105" i="2"/>
  <c r="G104" i="2"/>
  <c r="G103" i="2"/>
  <c r="F109" i="2"/>
  <c r="F108" i="2"/>
  <c r="F107" i="2"/>
  <c r="F106" i="2"/>
  <c r="F105" i="2"/>
  <c r="F104" i="2"/>
  <c r="F103" i="2"/>
  <c r="N10" i="3"/>
  <c r="M10" i="3"/>
  <c r="L10" i="3"/>
  <c r="K10" i="3"/>
  <c r="J10" i="3"/>
  <c r="I10" i="3"/>
  <c r="H10" i="3"/>
  <c r="N7" i="3"/>
  <c r="M7" i="3"/>
  <c r="L7" i="3"/>
  <c r="K7" i="3"/>
  <c r="J7" i="3"/>
  <c r="I7" i="3"/>
  <c r="H7" i="3"/>
  <c r="N5" i="3"/>
  <c r="M5" i="3"/>
  <c r="L5" i="3"/>
  <c r="K5" i="3"/>
  <c r="J5" i="3"/>
  <c r="I5" i="3"/>
  <c r="H5" i="3"/>
  <c r="F5" i="3"/>
  <c r="E5" i="3"/>
  <c r="D5" i="3"/>
  <c r="C5" i="3"/>
  <c r="M4" i="3"/>
  <c r="L4" i="3"/>
  <c r="K4" i="3"/>
  <c r="J4" i="3"/>
  <c r="I4" i="3"/>
  <c r="H4" i="3"/>
  <c r="G10" i="3"/>
  <c r="F10" i="3"/>
  <c r="E10" i="3"/>
  <c r="D10" i="3"/>
  <c r="C10" i="3"/>
  <c r="G7" i="3"/>
  <c r="E7" i="3"/>
  <c r="D7" i="3"/>
  <c r="C7" i="3"/>
  <c r="G4" i="3"/>
  <c r="F4" i="3"/>
  <c r="E4" i="3"/>
  <c r="D4" i="3"/>
  <c r="C4" i="3"/>
  <c r="G5" i="3" l="1"/>
  <c r="C6" i="3" l="1"/>
  <c r="C8" i="3"/>
  <c r="C9" i="3"/>
  <c r="D6" i="3"/>
  <c r="D9" i="3"/>
  <c r="D8" i="3"/>
  <c r="E8" i="3"/>
  <c r="E9" i="3"/>
  <c r="E6" i="3"/>
  <c r="F9" i="3"/>
  <c r="F6" i="3"/>
  <c r="F8" i="3"/>
  <c r="G8" i="3"/>
  <c r="G6" i="3"/>
  <c r="G9" i="3"/>
  <c r="H8" i="3"/>
  <c r="H9" i="3"/>
  <c r="H6" i="3"/>
  <c r="I9" i="3"/>
  <c r="I8" i="3"/>
  <c r="I6" i="3"/>
  <c r="J9" i="3"/>
  <c r="J6" i="3"/>
  <c r="J8" i="3"/>
  <c r="K6" i="3"/>
  <c r="K8" i="3"/>
  <c r="K9" i="3"/>
  <c r="L8" i="3"/>
  <c r="L9" i="3"/>
  <c r="L6" i="3"/>
  <c r="M9" i="3"/>
  <c r="M8" i="3"/>
  <c r="M6" i="3"/>
  <c r="N6" i="3"/>
  <c r="N8" i="3"/>
  <c r="N9" i="3"/>
  <c r="BO115" i="2" l="1"/>
  <c r="BO113" i="2"/>
  <c r="BO112" i="2"/>
  <c r="BO114" i="2"/>
  <c r="AQ114" i="2"/>
  <c r="AQ113" i="2"/>
  <c r="AQ112" i="2"/>
  <c r="AQ115" i="2"/>
  <c r="CO114" i="2"/>
  <c r="CO113" i="2"/>
  <c r="CO112" i="2"/>
  <c r="CO115" i="2"/>
  <c r="BG113" i="2"/>
  <c r="BG115" i="2"/>
  <c r="BG112" i="2"/>
  <c r="BG114" i="2"/>
  <c r="AC115" i="2"/>
  <c r="AC113" i="2"/>
  <c r="AC112" i="2"/>
  <c r="AC114" i="2"/>
  <c r="CQ115" i="2"/>
  <c r="CQ113" i="2"/>
  <c r="CQ112" i="2"/>
  <c r="CQ114" i="2"/>
  <c r="CF113" i="2"/>
  <c r="CF114" i="2"/>
  <c r="CF112" i="2"/>
  <c r="CF115" i="2"/>
  <c r="CP114" i="2"/>
  <c r="CP115" i="2"/>
  <c r="CP112" i="2"/>
  <c r="CP113" i="2"/>
  <c r="CG113" i="2"/>
  <c r="CG114" i="2"/>
  <c r="CG112" i="2"/>
  <c r="CG115" i="2"/>
  <c r="BY114" i="2"/>
  <c r="BY115" i="2"/>
  <c r="BY112" i="2"/>
  <c r="BY113" i="2"/>
  <c r="BX115" i="2"/>
  <c r="BX114" i="2"/>
  <c r="BX112" i="2"/>
  <c r="BX113" i="2"/>
  <c r="AZ114" i="2"/>
  <c r="AZ115" i="2"/>
  <c r="AZ112" i="2"/>
  <c r="AZ113" i="2"/>
  <c r="AJ113" i="2"/>
  <c r="AJ114" i="2"/>
  <c r="AJ112" i="2"/>
  <c r="AJ115" i="2"/>
  <c r="BH115" i="2"/>
  <c r="BH114" i="2"/>
  <c r="BH112" i="2"/>
  <c r="BH113" i="2"/>
  <c r="V115" i="2"/>
  <c r="V113" i="2"/>
  <c r="V112" i="2"/>
  <c r="V114" i="2"/>
  <c r="BP115" i="2"/>
  <c r="BP114" i="2"/>
  <c r="BP112" i="2"/>
  <c r="BP113" i="2"/>
  <c r="AR115" i="2"/>
  <c r="AR113" i="2"/>
  <c r="AR112" i="2"/>
  <c r="AR114" i="2"/>
  <c r="O114" i="2"/>
  <c r="O115" i="2"/>
  <c r="O112" i="2"/>
  <c r="O113" i="2"/>
  <c r="AY114" i="2"/>
  <c r="AY115" i="2"/>
  <c r="AY112" i="2"/>
  <c r="AY113" i="2"/>
  <c r="CH114" i="2"/>
  <c r="CH115" i="2"/>
  <c r="CH112" i="2"/>
  <c r="CH113" i="2"/>
  <c r="BW115" i="2"/>
  <c r="BW113" i="2"/>
  <c r="BW112" i="2"/>
  <c r="BW114" i="2"/>
  <c r="H115" i="2"/>
  <c r="H114" i="2"/>
  <c r="H112" i="2"/>
  <c r="H113" i="2"/>
</calcChain>
</file>

<file path=xl/sharedStrings.xml><?xml version="1.0" encoding="utf-8"?>
<sst xmlns="http://schemas.openxmlformats.org/spreadsheetml/2006/main" count="314" uniqueCount="36">
  <si>
    <t>random seed</t>
  </si>
  <si>
    <t>control horizon</t>
  </si>
  <si>
    <t>prediction horizon</t>
  </si>
  <si>
    <t>iterations</t>
  </si>
  <si>
    <t>f_calls</t>
  </si>
  <si>
    <t>seconds</t>
  </si>
  <si>
    <t>u0</t>
  </si>
  <si>
    <t>cpu time</t>
  </si>
  <si>
    <t>min</t>
  </si>
  <si>
    <t>std dev</t>
  </si>
  <si>
    <t>mean</t>
  </si>
  <si>
    <t>q1</t>
  </si>
  <si>
    <t>q2</t>
  </si>
  <si>
    <t>q3</t>
  </si>
  <si>
    <t>max</t>
  </si>
  <si>
    <t>Control Horizon</t>
  </si>
  <si>
    <t>Prediction Horizon</t>
  </si>
  <si>
    <t>Mean</t>
  </si>
  <si>
    <t>Stddev</t>
  </si>
  <si>
    <t>Min</t>
  </si>
  <si>
    <t>Q1</t>
  </si>
  <si>
    <t>Medium</t>
  </si>
  <si>
    <t>Q3</t>
  </si>
  <si>
    <t>Max</t>
  </si>
  <si>
    <t>&lt;125.1</t>
  </si>
  <si>
    <t>&lt;126</t>
  </si>
  <si>
    <t>&lt;135</t>
  </si>
  <si>
    <t>&lt;130</t>
  </si>
  <si>
    <t>CH</t>
  </si>
  <si>
    <t>PH</t>
  </si>
  <si>
    <t>u1</t>
  </si>
  <si>
    <t>u2</t>
  </si>
  <si>
    <t>u3</t>
  </si>
  <si>
    <t># &gt;760</t>
  </si>
  <si>
    <t>hc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</si>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</sst>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Q115"/>
  <sheetViews>
    <sheetView zoomScale="25" zoomScaleNormal="25" workbookViewId="0">
      <selection activeCell="CV52" sqref="CV52"/>
    </sheetView>
  </sheetViews>
  <sheetFormatPr defaultColWidth="10.90625" defaultRowHeight="14.5" x14ac:dyDescent="0.35"/>
  <sheetData>
    <row r="1" spans="1:95" s="8" customForma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7</v>
      </c>
      <c r="O1" t="s">
        <v>6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7</v>
      </c>
      <c r="V1" t="s">
        <v>6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7</v>
      </c>
      <c r="AC1" t="s">
        <v>6</v>
      </c>
      <c r="AD1" t="s">
        <v>1</v>
      </c>
      <c r="AE1" t="s">
        <v>2</v>
      </c>
      <c r="AF1" t="s">
        <v>3</v>
      </c>
      <c r="AG1" t="s">
        <v>4</v>
      </c>
      <c r="AH1" t="s">
        <v>5</v>
      </c>
      <c r="AI1" t="s">
        <v>7</v>
      </c>
      <c r="AJ1" t="s">
        <v>6</v>
      </c>
      <c r="AK1" t="s">
        <v>1</v>
      </c>
      <c r="AL1" t="s">
        <v>2</v>
      </c>
      <c r="AM1" t="s">
        <v>3</v>
      </c>
      <c r="AN1" t="s">
        <v>4</v>
      </c>
      <c r="AO1" t="s">
        <v>5</v>
      </c>
      <c r="AP1" t="s">
        <v>7</v>
      </c>
      <c r="AQ1" t="s">
        <v>6</v>
      </c>
      <c r="AR1"/>
      <c r="AS1" t="s">
        <v>1</v>
      </c>
      <c r="AT1" t="s">
        <v>2</v>
      </c>
      <c r="AU1" t="s">
        <v>3</v>
      </c>
      <c r="AV1" t="s">
        <v>4</v>
      </c>
      <c r="AW1" t="s">
        <v>5</v>
      </c>
      <c r="AX1" t="s">
        <v>7</v>
      </c>
      <c r="AY1" t="s">
        <v>6</v>
      </c>
      <c r="AZ1"/>
      <c r="BA1" t="s">
        <v>1</v>
      </c>
      <c r="BB1" t="s">
        <v>2</v>
      </c>
      <c r="BC1" t="s">
        <v>3</v>
      </c>
      <c r="BD1" t="s">
        <v>4</v>
      </c>
      <c r="BE1" t="s">
        <v>5</v>
      </c>
      <c r="BF1" t="s">
        <v>7</v>
      </c>
      <c r="BG1" t="s">
        <v>6</v>
      </c>
      <c r="BH1"/>
      <c r="BI1" t="s">
        <v>1</v>
      </c>
      <c r="BJ1" t="s">
        <v>2</v>
      </c>
      <c r="BK1" t="s">
        <v>3</v>
      </c>
      <c r="BL1" t="s">
        <v>4</v>
      </c>
      <c r="BM1" t="s">
        <v>5</v>
      </c>
      <c r="BN1" t="s">
        <v>7</v>
      </c>
      <c r="BO1" t="s">
        <v>6</v>
      </c>
      <c r="BP1"/>
      <c r="BQ1" t="s">
        <v>1</v>
      </c>
      <c r="BR1" t="s">
        <v>2</v>
      </c>
      <c r="BS1" t="s">
        <v>3</v>
      </c>
      <c r="BT1" t="s">
        <v>4</v>
      </c>
      <c r="BU1" t="s">
        <v>5</v>
      </c>
      <c r="BV1" t="s">
        <v>7</v>
      </c>
      <c r="BW1" t="s">
        <v>6</v>
      </c>
      <c r="BX1"/>
      <c r="BY1"/>
      <c r="BZ1" t="s">
        <v>1</v>
      </c>
      <c r="CA1" t="s">
        <v>2</v>
      </c>
      <c r="CB1" t="s">
        <v>3</v>
      </c>
      <c r="CC1" t="s">
        <v>4</v>
      </c>
      <c r="CD1" t="s">
        <v>5</v>
      </c>
      <c r="CE1" t="s">
        <v>7</v>
      </c>
      <c r="CF1" t="s">
        <v>6</v>
      </c>
      <c r="CG1"/>
      <c r="CH1"/>
      <c r="CI1" t="s">
        <v>1</v>
      </c>
      <c r="CJ1" t="s">
        <v>2</v>
      </c>
      <c r="CK1" t="s">
        <v>3</v>
      </c>
      <c r="CL1" t="s">
        <v>4</v>
      </c>
      <c r="CM1" t="s">
        <v>5</v>
      </c>
      <c r="CN1" t="s">
        <v>7</v>
      </c>
      <c r="CO1" t="s">
        <v>6</v>
      </c>
      <c r="CP1"/>
      <c r="CQ1"/>
    </row>
    <row r="2" spans="1:95" s="8" customFormat="1" x14ac:dyDescent="0.35">
      <c r="A2">
        <v>1001</v>
      </c>
      <c r="B2">
        <v>1</v>
      </c>
      <c r="C2">
        <v>1</v>
      </c>
      <c r="D2">
        <v>2</v>
      </c>
      <c r="E2">
        <v>367</v>
      </c>
      <c r="F2">
        <v>81.799047946929932</v>
      </c>
      <c r="G2">
        <v>79.6114409999999</v>
      </c>
      <c r="H2">
        <v>125.00776029722479</v>
      </c>
      <c r="I2">
        <v>1</v>
      </c>
      <c r="J2">
        <v>2</v>
      </c>
      <c r="K2">
        <v>2</v>
      </c>
      <c r="L2">
        <v>370</v>
      </c>
      <c r="M2">
        <v>164.41769289970398</v>
      </c>
      <c r="N2">
        <v>163.41564100000005</v>
      </c>
      <c r="O2">
        <v>125.01113990366244</v>
      </c>
      <c r="P2">
        <v>1</v>
      </c>
      <c r="Q2">
        <v>3</v>
      </c>
      <c r="R2">
        <v>2</v>
      </c>
      <c r="S2">
        <v>401</v>
      </c>
      <c r="T2">
        <v>273.07512307167053</v>
      </c>
      <c r="U2">
        <v>269.41835000000015</v>
      </c>
      <c r="V2">
        <v>125.01113990366244</v>
      </c>
      <c r="W2">
        <v>1</v>
      </c>
      <c r="X2">
        <v>4</v>
      </c>
      <c r="Y2">
        <v>3</v>
      </c>
      <c r="Z2">
        <v>169</v>
      </c>
      <c r="AA2">
        <v>152.96307301521301</v>
      </c>
      <c r="AB2">
        <v>152.10479899999996</v>
      </c>
      <c r="AC2">
        <v>125.00000000012849</v>
      </c>
      <c r="AD2">
        <v>1</v>
      </c>
      <c r="AE2">
        <v>5</v>
      </c>
      <c r="AF2">
        <v>2</v>
      </c>
      <c r="AG2">
        <v>392</v>
      </c>
      <c r="AH2">
        <v>427.66311001777649</v>
      </c>
      <c r="AI2">
        <v>422.32256999999981</v>
      </c>
      <c r="AJ2">
        <v>125.01113990366244</v>
      </c>
      <c r="AK2">
        <v>2</v>
      </c>
      <c r="AL2">
        <v>2</v>
      </c>
      <c r="AM2">
        <v>2</v>
      </c>
      <c r="AN2">
        <v>393</v>
      </c>
      <c r="AO2">
        <v>237.81869697570801</v>
      </c>
      <c r="AP2">
        <v>234.58890900000006</v>
      </c>
      <c r="AQ2">
        <v>125.00169544515342</v>
      </c>
      <c r="AR2">
        <v>126.83106450886169</v>
      </c>
      <c r="AS2">
        <v>2</v>
      </c>
      <c r="AT2">
        <v>3</v>
      </c>
      <c r="AU2">
        <v>2</v>
      </c>
      <c r="AV2">
        <v>447</v>
      </c>
      <c r="AW2">
        <v>405.48246121406555</v>
      </c>
      <c r="AX2">
        <v>401.37831399999982</v>
      </c>
      <c r="AY2">
        <v>125.00169544515342</v>
      </c>
      <c r="AZ2">
        <v>125.00169577892635</v>
      </c>
      <c r="BA2">
        <v>2</v>
      </c>
      <c r="BB2">
        <v>4</v>
      </c>
      <c r="BC2">
        <v>3</v>
      </c>
      <c r="BD2">
        <v>534</v>
      </c>
      <c r="BE2">
        <v>625.01980686187744</v>
      </c>
      <c r="BF2">
        <v>620.82149499999969</v>
      </c>
      <c r="BG2">
        <v>125.00000000022558</v>
      </c>
      <c r="BH2">
        <v>125.00000000008984</v>
      </c>
      <c r="BI2">
        <v>2</v>
      </c>
      <c r="BJ2">
        <v>5</v>
      </c>
      <c r="BK2">
        <v>2</v>
      </c>
      <c r="BL2">
        <v>481</v>
      </c>
      <c r="BM2">
        <v>709.77605104446411</v>
      </c>
      <c r="BN2">
        <v>704.50856999999996</v>
      </c>
      <c r="BO2">
        <v>125.02589102866386</v>
      </c>
      <c r="BP2">
        <v>125.05198583526568</v>
      </c>
      <c r="BQ2">
        <v>3</v>
      </c>
      <c r="BR2">
        <v>3</v>
      </c>
      <c r="BS2">
        <v>2</v>
      </c>
      <c r="BT2">
        <v>379</v>
      </c>
      <c r="BU2">
        <v>400.58998703956604</v>
      </c>
      <c r="BV2">
        <v>397.73185000000012</v>
      </c>
      <c r="BW2">
        <v>125.00169544515342</v>
      </c>
      <c r="BX2">
        <v>125.48511404086305</v>
      </c>
      <c r="BY2">
        <v>127.35279506458623</v>
      </c>
      <c r="BZ2">
        <v>3</v>
      </c>
      <c r="CA2">
        <v>4</v>
      </c>
      <c r="CB2">
        <v>2</v>
      </c>
      <c r="CC2">
        <v>382</v>
      </c>
      <c r="CD2">
        <v>505.24295401573181</v>
      </c>
      <c r="CE2">
        <v>500.11536600000045</v>
      </c>
      <c r="CF2">
        <v>126.46761478668014</v>
      </c>
      <c r="CG2">
        <v>126.27796929964296</v>
      </c>
      <c r="CH2">
        <v>125.00365754265795</v>
      </c>
      <c r="CI2">
        <v>3</v>
      </c>
      <c r="CJ2">
        <v>5</v>
      </c>
      <c r="CK2">
        <v>2</v>
      </c>
      <c r="CL2">
        <v>588</v>
      </c>
      <c r="CM2">
        <v>890.49520707130432</v>
      </c>
      <c r="CN2">
        <v>881.29881999999998</v>
      </c>
      <c r="CO2">
        <v>126.06708283173327</v>
      </c>
      <c r="CP2">
        <v>125.00037345671772</v>
      </c>
      <c r="CQ2">
        <v>125.00249908447043</v>
      </c>
    </row>
    <row r="3" spans="1:95" s="8" customFormat="1" x14ac:dyDescent="0.35">
      <c r="A3">
        <v>1002</v>
      </c>
      <c r="B3">
        <v>1</v>
      </c>
      <c r="C3">
        <v>1</v>
      </c>
      <c r="D3">
        <v>3</v>
      </c>
      <c r="E3">
        <v>404</v>
      </c>
      <c r="F3">
        <v>77.256016969680786</v>
      </c>
      <c r="G3">
        <v>76.857043000000886</v>
      </c>
      <c r="H3">
        <v>125.00000000005302</v>
      </c>
      <c r="I3">
        <v>1</v>
      </c>
      <c r="J3">
        <v>2</v>
      </c>
      <c r="K3">
        <v>3</v>
      </c>
      <c r="L3">
        <v>1776</v>
      </c>
      <c r="M3">
        <v>682.45873308181763</v>
      </c>
      <c r="N3">
        <v>674.47556899999927</v>
      </c>
      <c r="O3">
        <v>125.00000000006172</v>
      </c>
      <c r="P3">
        <v>1</v>
      </c>
      <c r="Q3">
        <v>3</v>
      </c>
      <c r="R3">
        <v>3</v>
      </c>
      <c r="S3">
        <v>508</v>
      </c>
      <c r="T3">
        <v>311.22160410881042</v>
      </c>
      <c r="U3">
        <v>308.89070299999912</v>
      </c>
      <c r="V3">
        <v>125.00000000007989</v>
      </c>
      <c r="W3">
        <v>1</v>
      </c>
      <c r="X3">
        <v>4</v>
      </c>
      <c r="Y3">
        <v>3</v>
      </c>
      <c r="Z3">
        <v>175</v>
      </c>
      <c r="AA3">
        <v>147.64961791038513</v>
      </c>
      <c r="AB3">
        <v>146.85058600000048</v>
      </c>
      <c r="AC3">
        <v>125.00000000011293</v>
      </c>
      <c r="AD3">
        <v>1</v>
      </c>
      <c r="AE3">
        <v>5</v>
      </c>
      <c r="AF3">
        <v>3</v>
      </c>
      <c r="AG3">
        <v>5608</v>
      </c>
      <c r="AH3">
        <v>5297.3947789669037</v>
      </c>
      <c r="AI3">
        <v>5251.4791329999998</v>
      </c>
      <c r="AJ3">
        <v>125.00000000016162</v>
      </c>
      <c r="AK3">
        <v>2</v>
      </c>
      <c r="AL3">
        <v>2</v>
      </c>
      <c r="AM3">
        <v>3</v>
      </c>
      <c r="AN3">
        <v>274</v>
      </c>
      <c r="AO3">
        <v>135.18662285804749</v>
      </c>
      <c r="AP3">
        <v>134.54141999999956</v>
      </c>
      <c r="AQ3">
        <v>125.000000000046</v>
      </c>
      <c r="AR3">
        <v>125.00000000009076</v>
      </c>
      <c r="AS3">
        <v>2</v>
      </c>
      <c r="AT3">
        <v>3</v>
      </c>
      <c r="AU3">
        <v>2</v>
      </c>
      <c r="AV3">
        <v>30370</v>
      </c>
      <c r="AW3">
        <v>27125.590112924576</v>
      </c>
      <c r="AX3">
        <v>26904.749771000003</v>
      </c>
      <c r="AY3">
        <v>126.12918482237606</v>
      </c>
      <c r="AZ3">
        <v>125.00000016659997</v>
      </c>
      <c r="BA3">
        <v>2</v>
      </c>
      <c r="BB3">
        <v>4</v>
      </c>
      <c r="BC3">
        <v>2</v>
      </c>
      <c r="BD3">
        <v>474</v>
      </c>
      <c r="BE3">
        <v>525.92822408676147</v>
      </c>
      <c r="BF3">
        <v>522.85868999999366</v>
      </c>
      <c r="BG3">
        <v>127.75666107101516</v>
      </c>
      <c r="BH3">
        <v>125.00037565819801</v>
      </c>
      <c r="BI3">
        <v>2</v>
      </c>
      <c r="BJ3">
        <v>5</v>
      </c>
      <c r="BK3">
        <v>2</v>
      </c>
      <c r="BL3">
        <v>406</v>
      </c>
      <c r="BM3">
        <v>567.79724407196045</v>
      </c>
      <c r="BN3">
        <v>564.27559800000017</v>
      </c>
      <c r="BO3">
        <v>128.49333674583369</v>
      </c>
      <c r="BP3">
        <v>125.02064207152426</v>
      </c>
      <c r="BQ3">
        <v>3</v>
      </c>
      <c r="BR3">
        <v>3</v>
      </c>
      <c r="BS3">
        <v>2</v>
      </c>
      <c r="BT3">
        <v>744</v>
      </c>
      <c r="BU3">
        <v>792.09438300132751</v>
      </c>
      <c r="BV3">
        <v>787.22968899999978</v>
      </c>
      <c r="BW3">
        <v>125.01293314300324</v>
      </c>
      <c r="BX3">
        <v>125.02482236759785</v>
      </c>
      <c r="BY3">
        <v>127.14950850879886</v>
      </c>
      <c r="BZ3">
        <v>3</v>
      </c>
      <c r="CA3">
        <v>4</v>
      </c>
      <c r="CB3">
        <v>2</v>
      </c>
      <c r="CC3">
        <v>509</v>
      </c>
      <c r="CD3">
        <v>707.35385584831238</v>
      </c>
      <c r="CE3">
        <v>702.74276800000371</v>
      </c>
      <c r="CF3">
        <v>125.00011824708179</v>
      </c>
      <c r="CG3">
        <v>125.05744864435958</v>
      </c>
      <c r="CH3">
        <v>125.03383759076337</v>
      </c>
      <c r="CI3">
        <v>3</v>
      </c>
      <c r="CJ3">
        <v>5</v>
      </c>
      <c r="CK3">
        <v>2</v>
      </c>
      <c r="CL3">
        <v>379</v>
      </c>
      <c r="CM3">
        <v>668.33494877815247</v>
      </c>
      <c r="CN3">
        <v>664.11966399999801</v>
      </c>
      <c r="CO3">
        <v>127.78172154189832</v>
      </c>
      <c r="CP3">
        <v>127.60114297502112</v>
      </c>
      <c r="CQ3">
        <v>125.03679333630652</v>
      </c>
    </row>
    <row r="4" spans="1:95" s="8" customFormat="1" x14ac:dyDescent="0.35">
      <c r="A4">
        <v>1003</v>
      </c>
      <c r="B4">
        <v>1</v>
      </c>
      <c r="C4">
        <v>1</v>
      </c>
      <c r="D4">
        <v>3</v>
      </c>
      <c r="E4">
        <v>164</v>
      </c>
      <c r="F4">
        <v>35.740684986114502</v>
      </c>
      <c r="G4">
        <v>35.508130000000051</v>
      </c>
      <c r="H4">
        <v>125.00000000017744</v>
      </c>
      <c r="I4">
        <v>1</v>
      </c>
      <c r="J4">
        <v>2</v>
      </c>
      <c r="K4">
        <v>3</v>
      </c>
      <c r="L4">
        <v>253</v>
      </c>
      <c r="M4">
        <v>108.4258279800415</v>
      </c>
      <c r="N4">
        <v>107.52740700000004</v>
      </c>
      <c r="O4">
        <v>125.00000000017478</v>
      </c>
      <c r="P4">
        <v>1</v>
      </c>
      <c r="Q4">
        <v>3</v>
      </c>
      <c r="R4">
        <v>2</v>
      </c>
      <c r="S4">
        <v>346</v>
      </c>
      <c r="T4">
        <v>235.59175086021423</v>
      </c>
      <c r="U4">
        <v>233.96449800000016</v>
      </c>
      <c r="V4">
        <v>125.00036043543845</v>
      </c>
      <c r="W4">
        <v>1</v>
      </c>
      <c r="X4">
        <v>4</v>
      </c>
      <c r="Y4">
        <v>2</v>
      </c>
      <c r="Z4">
        <v>406</v>
      </c>
      <c r="AA4">
        <v>351.44001889228821</v>
      </c>
      <c r="AB4">
        <v>348.78514899999993</v>
      </c>
      <c r="AC4">
        <v>125.01474591529509</v>
      </c>
      <c r="AD4">
        <v>1</v>
      </c>
      <c r="AE4">
        <v>5</v>
      </c>
      <c r="AF4">
        <v>3</v>
      </c>
      <c r="AG4">
        <v>755</v>
      </c>
      <c r="AH4">
        <v>798.59994101524353</v>
      </c>
      <c r="AI4">
        <v>792.71994800000016</v>
      </c>
      <c r="AJ4">
        <v>125.00000000019199</v>
      </c>
      <c r="AK4">
        <v>2</v>
      </c>
      <c r="AL4">
        <v>2</v>
      </c>
      <c r="AM4">
        <v>3</v>
      </c>
      <c r="AN4">
        <v>205</v>
      </c>
      <c r="AO4">
        <v>124.88527798652649</v>
      </c>
      <c r="AP4">
        <v>123.98995299999979</v>
      </c>
      <c r="AQ4">
        <v>125.00000000014091</v>
      </c>
      <c r="AR4">
        <v>125.00000000023006</v>
      </c>
      <c r="AS4">
        <v>2</v>
      </c>
      <c r="AT4">
        <v>3</v>
      </c>
      <c r="AU4">
        <v>2</v>
      </c>
      <c r="AV4">
        <v>675</v>
      </c>
      <c r="AW4">
        <v>552.4389750957489</v>
      </c>
      <c r="AX4">
        <v>548.75874399999975</v>
      </c>
      <c r="AY4">
        <v>125.00014978077391</v>
      </c>
      <c r="AZ4">
        <v>125.00035224911056</v>
      </c>
      <c r="BA4">
        <v>2</v>
      </c>
      <c r="BB4">
        <v>4</v>
      </c>
      <c r="BC4">
        <v>2</v>
      </c>
      <c r="BD4">
        <v>590</v>
      </c>
      <c r="BE4">
        <v>691.58450102806091</v>
      </c>
      <c r="BF4">
        <v>686.87694899999997</v>
      </c>
      <c r="BG4">
        <v>125.00030975873939</v>
      </c>
      <c r="BH4">
        <v>125.00034283277047</v>
      </c>
      <c r="BI4">
        <v>2</v>
      </c>
      <c r="BJ4">
        <v>5</v>
      </c>
      <c r="BK4">
        <v>2</v>
      </c>
      <c r="BL4">
        <v>791</v>
      </c>
      <c r="BM4">
        <v>1065.8481900691986</v>
      </c>
      <c r="BN4">
        <v>1058.530694</v>
      </c>
      <c r="BO4">
        <v>128.2065932905719</v>
      </c>
      <c r="BP4">
        <v>125.00012773336562</v>
      </c>
      <c r="BQ4">
        <v>3</v>
      </c>
      <c r="BR4">
        <v>3</v>
      </c>
      <c r="BS4">
        <v>2</v>
      </c>
      <c r="BT4">
        <v>501</v>
      </c>
      <c r="BU4">
        <v>492.53330397605896</v>
      </c>
      <c r="BV4">
        <v>488.94666200000029</v>
      </c>
      <c r="BW4">
        <v>125.00312371347566</v>
      </c>
      <c r="BX4">
        <v>125.00022097158237</v>
      </c>
      <c r="BY4">
        <v>127.26927668796415</v>
      </c>
      <c r="BZ4">
        <v>3</v>
      </c>
      <c r="CA4">
        <v>4</v>
      </c>
      <c r="CB4">
        <v>2</v>
      </c>
      <c r="CC4">
        <v>460</v>
      </c>
      <c r="CD4">
        <v>584.02894377708435</v>
      </c>
      <c r="CE4">
        <v>580.37612200000058</v>
      </c>
      <c r="CF4">
        <v>125.00075014706589</v>
      </c>
      <c r="CG4">
        <v>125.0003263207489</v>
      </c>
      <c r="CH4">
        <v>125.0001902397851</v>
      </c>
      <c r="CI4">
        <v>3</v>
      </c>
      <c r="CJ4">
        <v>5</v>
      </c>
      <c r="CK4">
        <v>2</v>
      </c>
      <c r="CL4">
        <v>470</v>
      </c>
      <c r="CM4">
        <v>737.9151771068573</v>
      </c>
      <c r="CN4">
        <v>733.07301299999926</v>
      </c>
      <c r="CO4">
        <v>127.41321307034653</v>
      </c>
      <c r="CP4">
        <v>127.43175021885274</v>
      </c>
      <c r="CQ4">
        <v>125.02115407036739</v>
      </c>
    </row>
    <row r="5" spans="1:95" s="8" customFormat="1" x14ac:dyDescent="0.35">
      <c r="A5">
        <v>1004</v>
      </c>
      <c r="B5">
        <v>1</v>
      </c>
      <c r="C5">
        <v>1</v>
      </c>
      <c r="D5">
        <v>3</v>
      </c>
      <c r="E5">
        <v>98</v>
      </c>
      <c r="F5">
        <v>21.435560941696167</v>
      </c>
      <c r="G5">
        <v>21.333495999999286</v>
      </c>
      <c r="H5">
        <v>125.00000000007152</v>
      </c>
      <c r="I5">
        <v>1</v>
      </c>
      <c r="J5">
        <v>2</v>
      </c>
      <c r="K5">
        <v>2</v>
      </c>
      <c r="L5">
        <v>718</v>
      </c>
      <c r="M5">
        <v>278.7953200340271</v>
      </c>
      <c r="N5">
        <v>277.01940200000081</v>
      </c>
      <c r="O5">
        <v>125.02733572906381</v>
      </c>
      <c r="P5">
        <v>1</v>
      </c>
      <c r="Q5">
        <v>3</v>
      </c>
      <c r="R5">
        <v>3</v>
      </c>
      <c r="S5">
        <v>113</v>
      </c>
      <c r="T5">
        <v>66.939926862716675</v>
      </c>
      <c r="U5">
        <v>66.565056000000368</v>
      </c>
      <c r="V5">
        <v>125.00000000012423</v>
      </c>
      <c r="W5">
        <v>1</v>
      </c>
      <c r="X5">
        <v>4</v>
      </c>
      <c r="Y5">
        <v>3</v>
      </c>
      <c r="Z5">
        <v>99</v>
      </c>
      <c r="AA5">
        <v>81.385482788085938</v>
      </c>
      <c r="AB5">
        <v>81.077424999999494</v>
      </c>
      <c r="AC5">
        <v>125.00000000018022</v>
      </c>
      <c r="AD5">
        <v>1</v>
      </c>
      <c r="AE5">
        <v>5</v>
      </c>
      <c r="AF5">
        <v>2</v>
      </c>
      <c r="AG5">
        <v>425</v>
      </c>
      <c r="AH5">
        <v>430.01622915267944</v>
      </c>
      <c r="AI5">
        <v>427.15793200000007</v>
      </c>
      <c r="AJ5">
        <v>125.02911289584482</v>
      </c>
      <c r="AK5">
        <v>2</v>
      </c>
      <c r="AL5">
        <v>2</v>
      </c>
      <c r="AM5">
        <v>2</v>
      </c>
      <c r="AN5">
        <v>586</v>
      </c>
      <c r="AO5">
        <v>336.17940807342529</v>
      </c>
      <c r="AP5">
        <v>333.87767099999928</v>
      </c>
      <c r="AQ5">
        <v>125.00142636642417</v>
      </c>
      <c r="AR5">
        <v>125.08390381584408</v>
      </c>
      <c r="AS5">
        <v>2</v>
      </c>
      <c r="AT5">
        <v>3</v>
      </c>
      <c r="AU5">
        <v>3</v>
      </c>
      <c r="AV5">
        <v>383</v>
      </c>
      <c r="AW5">
        <v>333.4384400844574</v>
      </c>
      <c r="AX5">
        <v>331.08184399999936</v>
      </c>
      <c r="AY5">
        <v>125.00000000012425</v>
      </c>
      <c r="AZ5">
        <v>125.00000000012461</v>
      </c>
      <c r="BA5">
        <v>2</v>
      </c>
      <c r="BB5">
        <v>4</v>
      </c>
      <c r="BC5">
        <v>2</v>
      </c>
      <c r="BD5">
        <v>425</v>
      </c>
      <c r="BE5">
        <v>531.31444787979126</v>
      </c>
      <c r="BF5">
        <v>527.42619200000081</v>
      </c>
      <c r="BG5">
        <v>127.92182591277574</v>
      </c>
      <c r="BH5">
        <v>125.00949548669911</v>
      </c>
      <c r="BI5">
        <v>2</v>
      </c>
      <c r="BJ5">
        <v>5</v>
      </c>
      <c r="BK5">
        <v>2</v>
      </c>
      <c r="BL5">
        <v>387</v>
      </c>
      <c r="BM5">
        <v>557.47458004951477</v>
      </c>
      <c r="BN5">
        <v>553.54820299999847</v>
      </c>
      <c r="BO5">
        <v>128.60344258569737</v>
      </c>
      <c r="BP5">
        <v>125.13689844223764</v>
      </c>
      <c r="BQ5">
        <v>3</v>
      </c>
      <c r="BR5">
        <v>3</v>
      </c>
      <c r="BS5">
        <v>2</v>
      </c>
      <c r="BT5">
        <v>360</v>
      </c>
      <c r="BU5">
        <v>397.89569306373596</v>
      </c>
      <c r="BV5">
        <v>395.10489599999892</v>
      </c>
      <c r="BW5">
        <v>125.00004854450175</v>
      </c>
      <c r="BX5">
        <v>125.53963816792754</v>
      </c>
      <c r="BY5">
        <v>127.35508415613631</v>
      </c>
      <c r="BZ5">
        <v>3</v>
      </c>
      <c r="CA5">
        <v>4</v>
      </c>
      <c r="CB5">
        <v>3</v>
      </c>
      <c r="CC5">
        <v>602</v>
      </c>
      <c r="CD5">
        <v>867.93839812278748</v>
      </c>
      <c r="CE5">
        <v>861.73653700000068</v>
      </c>
      <c r="CF5">
        <v>125.00000000014533</v>
      </c>
      <c r="CG5">
        <v>125.00000000020032</v>
      </c>
      <c r="CH5">
        <v>125.00000000021173</v>
      </c>
      <c r="CI5">
        <v>3</v>
      </c>
      <c r="CJ5">
        <v>5</v>
      </c>
      <c r="CK5">
        <v>2</v>
      </c>
      <c r="CL5">
        <v>389</v>
      </c>
      <c r="CM5">
        <v>696.51710987091064</v>
      </c>
      <c r="CN5">
        <v>691.41695899999831</v>
      </c>
      <c r="CO5">
        <v>127.90332080416287</v>
      </c>
      <c r="CP5">
        <v>127.66086674529846</v>
      </c>
      <c r="CQ5">
        <v>125.04668755985367</v>
      </c>
    </row>
    <row r="6" spans="1:95" s="8" customFormat="1" x14ac:dyDescent="0.35">
      <c r="A6">
        <v>1005</v>
      </c>
      <c r="B6">
        <v>1</v>
      </c>
      <c r="C6">
        <v>1</v>
      </c>
      <c r="D6">
        <v>2</v>
      </c>
      <c r="E6">
        <v>398</v>
      </c>
      <c r="F6">
        <v>82.348550081253052</v>
      </c>
      <c r="G6">
        <v>81.713425999998435</v>
      </c>
      <c r="H6">
        <v>125.00820241939337</v>
      </c>
      <c r="I6">
        <v>1</v>
      </c>
      <c r="J6">
        <v>2</v>
      </c>
      <c r="K6">
        <v>2</v>
      </c>
      <c r="L6">
        <v>391</v>
      </c>
      <c r="M6">
        <v>165.27751398086548</v>
      </c>
      <c r="N6">
        <v>161.48322499999995</v>
      </c>
      <c r="O6">
        <v>125.00820241939337</v>
      </c>
      <c r="P6">
        <v>1</v>
      </c>
      <c r="Q6">
        <v>3</v>
      </c>
      <c r="R6">
        <v>2</v>
      </c>
      <c r="S6">
        <v>393</v>
      </c>
      <c r="T6">
        <v>243.42821002006531</v>
      </c>
      <c r="U6">
        <v>241.74301099999866</v>
      </c>
      <c r="V6">
        <v>125.00820241939337</v>
      </c>
      <c r="W6">
        <v>1</v>
      </c>
      <c r="X6">
        <v>4</v>
      </c>
      <c r="Y6">
        <v>2</v>
      </c>
      <c r="Z6">
        <v>478</v>
      </c>
      <c r="AA6">
        <v>380.63274097442627</v>
      </c>
      <c r="AB6">
        <v>371.22990700000082</v>
      </c>
      <c r="AC6">
        <v>125.00820241939337</v>
      </c>
      <c r="AD6">
        <v>1</v>
      </c>
      <c r="AE6">
        <v>5</v>
      </c>
      <c r="AF6">
        <v>2</v>
      </c>
      <c r="AG6">
        <v>385</v>
      </c>
      <c r="AH6">
        <v>402.75606417655945</v>
      </c>
      <c r="AI6">
        <v>397.45990900000106</v>
      </c>
      <c r="AJ6">
        <v>125.00315561977541</v>
      </c>
      <c r="AK6">
        <v>2</v>
      </c>
      <c r="AL6">
        <v>2</v>
      </c>
      <c r="AM6">
        <v>2</v>
      </c>
      <c r="AN6">
        <v>394</v>
      </c>
      <c r="AO6">
        <v>208.1284511089325</v>
      </c>
      <c r="AP6">
        <v>203.715318999999</v>
      </c>
      <c r="AQ6">
        <v>125.00820241939337</v>
      </c>
      <c r="AR6">
        <v>127.51360896978225</v>
      </c>
      <c r="AS6">
        <v>2</v>
      </c>
      <c r="AT6">
        <v>3</v>
      </c>
      <c r="AU6">
        <v>2</v>
      </c>
      <c r="AV6">
        <v>1366</v>
      </c>
      <c r="AW6">
        <v>1143.5582668781281</v>
      </c>
      <c r="AX6">
        <v>1125.6291040000015</v>
      </c>
      <c r="AY6">
        <v>125.04172979735038</v>
      </c>
      <c r="AZ6">
        <v>125.00002565103698</v>
      </c>
      <c r="BA6">
        <v>2</v>
      </c>
      <c r="BB6">
        <v>4</v>
      </c>
      <c r="BC6">
        <v>2</v>
      </c>
      <c r="BD6">
        <v>568</v>
      </c>
      <c r="BE6">
        <v>614.59651803970337</v>
      </c>
      <c r="BF6">
        <v>604.91125099999954</v>
      </c>
      <c r="BG6">
        <v>129.91758800324138</v>
      </c>
      <c r="BH6">
        <v>125.01408176074075</v>
      </c>
      <c r="BI6">
        <v>2</v>
      </c>
      <c r="BJ6">
        <v>5</v>
      </c>
      <c r="BK6">
        <v>2</v>
      </c>
      <c r="BL6">
        <v>402</v>
      </c>
      <c r="BM6">
        <v>525.93040800094604</v>
      </c>
      <c r="BN6">
        <v>520.25664900000083</v>
      </c>
      <c r="BO6">
        <v>130.05190382705314</v>
      </c>
      <c r="BP6">
        <v>125.00010205160004</v>
      </c>
      <c r="BQ6">
        <v>3</v>
      </c>
      <c r="BR6">
        <v>3</v>
      </c>
      <c r="BS6">
        <v>2</v>
      </c>
      <c r="BT6">
        <v>383</v>
      </c>
      <c r="BU6">
        <v>380.16972708702087</v>
      </c>
      <c r="BV6">
        <v>377.69664099999864</v>
      </c>
      <c r="BW6">
        <v>125.00820241939337</v>
      </c>
      <c r="BX6">
        <v>126.81190530717718</v>
      </c>
      <c r="BY6">
        <v>128.11841556672854</v>
      </c>
      <c r="BZ6">
        <v>3</v>
      </c>
      <c r="CA6">
        <v>4</v>
      </c>
      <c r="CB6">
        <v>2</v>
      </c>
      <c r="CC6">
        <v>476</v>
      </c>
      <c r="CD6">
        <v>644.98646116256714</v>
      </c>
      <c r="CE6">
        <v>640.59538400000201</v>
      </c>
      <c r="CF6">
        <v>127.73225017781881</v>
      </c>
      <c r="CG6">
        <v>128.00564740313285</v>
      </c>
      <c r="CH6">
        <v>125.00015255870242</v>
      </c>
      <c r="CI6">
        <v>3</v>
      </c>
      <c r="CJ6">
        <v>5</v>
      </c>
      <c r="CK6">
        <v>2</v>
      </c>
      <c r="CL6">
        <v>27041</v>
      </c>
      <c r="CM6">
        <v>45614.913835048676</v>
      </c>
      <c r="CN6">
        <v>45326.443585000001</v>
      </c>
      <c r="CO6">
        <v>125.00820241939337</v>
      </c>
      <c r="CP6">
        <v>125.00092893695773</v>
      </c>
      <c r="CQ6">
        <v>125.00000018715758</v>
      </c>
    </row>
    <row r="7" spans="1:95" s="8" customFormat="1" x14ac:dyDescent="0.35">
      <c r="A7">
        <v>1006</v>
      </c>
      <c r="B7">
        <v>1</v>
      </c>
      <c r="C7">
        <v>1</v>
      </c>
      <c r="D7">
        <v>2</v>
      </c>
      <c r="E7">
        <v>570</v>
      </c>
      <c r="F7">
        <v>121.30966305732727</v>
      </c>
      <c r="G7">
        <v>120.40272699999332</v>
      </c>
      <c r="H7">
        <v>125.00588265948794</v>
      </c>
      <c r="I7">
        <v>1</v>
      </c>
      <c r="J7">
        <v>2</v>
      </c>
      <c r="K7">
        <v>3</v>
      </c>
      <c r="L7">
        <v>84</v>
      </c>
      <c r="M7">
        <v>35.178478956222534</v>
      </c>
      <c r="N7">
        <v>34.957717000004777</v>
      </c>
      <c r="O7">
        <v>125.00000000006901</v>
      </c>
      <c r="P7">
        <v>1</v>
      </c>
      <c r="Q7">
        <v>3</v>
      </c>
      <c r="R7">
        <v>3</v>
      </c>
      <c r="S7">
        <v>159</v>
      </c>
      <c r="T7">
        <v>100.44870901107788</v>
      </c>
      <c r="U7">
        <v>99.642905999993673</v>
      </c>
      <c r="V7">
        <v>125.00000000008721</v>
      </c>
      <c r="W7">
        <v>1</v>
      </c>
      <c r="X7">
        <v>4</v>
      </c>
      <c r="Y7">
        <v>2</v>
      </c>
      <c r="Z7">
        <v>393</v>
      </c>
      <c r="AA7">
        <v>323.79443097114563</v>
      </c>
      <c r="AB7">
        <v>321.23209800000041</v>
      </c>
      <c r="AC7">
        <v>125.00505878486689</v>
      </c>
      <c r="AD7">
        <v>1</v>
      </c>
      <c r="AE7">
        <v>5</v>
      </c>
      <c r="AF7">
        <v>2</v>
      </c>
      <c r="AG7">
        <v>491</v>
      </c>
      <c r="AH7">
        <v>486.63609790802002</v>
      </c>
      <c r="AI7">
        <v>483.97815399999672</v>
      </c>
      <c r="AJ7">
        <v>125.03068066594184</v>
      </c>
      <c r="AK7">
        <v>2</v>
      </c>
      <c r="AL7">
        <v>2</v>
      </c>
      <c r="AM7">
        <v>3</v>
      </c>
      <c r="AN7">
        <v>689</v>
      </c>
      <c r="AO7">
        <v>374.68234014511108</v>
      </c>
      <c r="AP7">
        <v>372.16570900000806</v>
      </c>
      <c r="AQ7">
        <v>125.00000000004866</v>
      </c>
      <c r="AR7">
        <v>125.00000000011863</v>
      </c>
      <c r="AS7">
        <v>2</v>
      </c>
      <c r="AT7">
        <v>3</v>
      </c>
      <c r="AU7">
        <v>3</v>
      </c>
      <c r="AV7">
        <v>200</v>
      </c>
      <c r="AW7">
        <v>161.78529500961304</v>
      </c>
      <c r="AX7">
        <v>160.89309199999843</v>
      </c>
      <c r="AY7">
        <v>125.00000000008075</v>
      </c>
      <c r="AZ7">
        <v>125.00000000009555</v>
      </c>
      <c r="BA7">
        <v>2</v>
      </c>
      <c r="BB7">
        <v>4</v>
      </c>
      <c r="BC7">
        <v>3</v>
      </c>
      <c r="BD7">
        <v>624</v>
      </c>
      <c r="BE7">
        <v>658.1490581035614</v>
      </c>
      <c r="BF7">
        <v>654.20236599999771</v>
      </c>
      <c r="BG7">
        <v>125.00000000013344</v>
      </c>
      <c r="BH7">
        <v>125.00000000010839</v>
      </c>
      <c r="BI7">
        <v>2</v>
      </c>
      <c r="BJ7">
        <v>5</v>
      </c>
      <c r="BK7">
        <v>2</v>
      </c>
      <c r="BL7">
        <v>652</v>
      </c>
      <c r="BM7">
        <v>882.50697088241577</v>
      </c>
      <c r="BN7">
        <v>876.83738399999856</v>
      </c>
      <c r="BO7">
        <v>128.58419834143797</v>
      </c>
      <c r="BP7">
        <v>125.00836796277582</v>
      </c>
      <c r="BQ7">
        <v>3</v>
      </c>
      <c r="BR7">
        <v>3</v>
      </c>
      <c r="BS7">
        <v>3</v>
      </c>
      <c r="BT7">
        <v>842</v>
      </c>
      <c r="BU7">
        <v>880.44640398025513</v>
      </c>
      <c r="BV7">
        <v>872.59050099999877</v>
      </c>
      <c r="BW7">
        <v>125.00000000005383</v>
      </c>
      <c r="BX7">
        <v>125.00000000009972</v>
      </c>
      <c r="BY7">
        <v>125.00000000017639</v>
      </c>
      <c r="BZ7">
        <v>3</v>
      </c>
      <c r="CA7">
        <v>4</v>
      </c>
      <c r="CB7">
        <v>3</v>
      </c>
      <c r="CC7">
        <v>929</v>
      </c>
      <c r="CD7">
        <v>1344.2485599517822</v>
      </c>
      <c r="CE7">
        <v>1331.537307000006</v>
      </c>
      <c r="CF7">
        <v>127.42097121909651</v>
      </c>
      <c r="CG7">
        <v>125.11186581006994</v>
      </c>
      <c r="CH7">
        <v>125.00000000617692</v>
      </c>
      <c r="CI7">
        <v>3</v>
      </c>
      <c r="CJ7">
        <v>5</v>
      </c>
      <c r="CK7">
        <v>2</v>
      </c>
      <c r="CL7">
        <v>596</v>
      </c>
      <c r="CM7">
        <v>1001.8087630271912</v>
      </c>
      <c r="CN7">
        <v>995.01156199999969</v>
      </c>
      <c r="CO7">
        <v>130.45429407509391</v>
      </c>
      <c r="CP7">
        <v>125.17635541599837</v>
      </c>
      <c r="CQ7">
        <v>125.00076261796434</v>
      </c>
    </row>
    <row r="8" spans="1:95" s="8" customFormat="1" x14ac:dyDescent="0.35">
      <c r="A8">
        <v>1007</v>
      </c>
      <c r="B8">
        <v>1</v>
      </c>
      <c r="C8">
        <v>1</v>
      </c>
      <c r="D8">
        <v>3</v>
      </c>
      <c r="E8">
        <v>330</v>
      </c>
      <c r="F8">
        <v>69.675597906112671</v>
      </c>
      <c r="G8">
        <v>69.244226999988314</v>
      </c>
      <c r="H8">
        <v>125.00000000006366</v>
      </c>
      <c r="I8">
        <v>1</v>
      </c>
      <c r="J8">
        <v>2</v>
      </c>
      <c r="K8">
        <v>3</v>
      </c>
      <c r="L8">
        <v>373</v>
      </c>
      <c r="M8">
        <v>176.48868298530579</v>
      </c>
      <c r="N8">
        <v>175.48876599999494</v>
      </c>
      <c r="O8">
        <v>125.00000000008453</v>
      </c>
      <c r="P8">
        <v>1</v>
      </c>
      <c r="Q8">
        <v>3</v>
      </c>
      <c r="R8">
        <v>3</v>
      </c>
      <c r="S8">
        <v>160</v>
      </c>
      <c r="T8">
        <v>107.4255850315094</v>
      </c>
      <c r="U8">
        <v>106.82422999999835</v>
      </c>
      <c r="V8">
        <v>125.00000000009936</v>
      </c>
      <c r="W8">
        <v>1</v>
      </c>
      <c r="X8">
        <v>4</v>
      </c>
      <c r="Y8">
        <v>3</v>
      </c>
      <c r="Z8">
        <v>1675</v>
      </c>
      <c r="AA8">
        <v>1383.1605389118195</v>
      </c>
      <c r="AB8">
        <v>1373.4865060000011</v>
      </c>
      <c r="AC8">
        <v>125.00000000011933</v>
      </c>
      <c r="AD8">
        <v>1</v>
      </c>
      <c r="AE8">
        <v>5</v>
      </c>
      <c r="AF8">
        <v>3</v>
      </c>
      <c r="AG8">
        <v>234</v>
      </c>
      <c r="AH8">
        <v>239.09719920158386</v>
      </c>
      <c r="AI8">
        <v>237.6425040000031</v>
      </c>
      <c r="AJ8">
        <v>125.00000000014775</v>
      </c>
      <c r="AK8">
        <v>2</v>
      </c>
      <c r="AL8">
        <v>2</v>
      </c>
      <c r="AM8">
        <v>3</v>
      </c>
      <c r="AN8">
        <v>897</v>
      </c>
      <c r="AO8">
        <v>493.48725414276123</v>
      </c>
      <c r="AP8">
        <v>489.98163999999815</v>
      </c>
      <c r="AQ8">
        <v>125.00000000005232</v>
      </c>
      <c r="AR8">
        <v>125.00000000015669</v>
      </c>
      <c r="AS8">
        <v>2</v>
      </c>
      <c r="AT8">
        <v>3</v>
      </c>
      <c r="AU8">
        <v>2</v>
      </c>
      <c r="AV8">
        <v>384</v>
      </c>
      <c r="AW8">
        <v>345.82622694969177</v>
      </c>
      <c r="AX8">
        <v>343.12063499999931</v>
      </c>
      <c r="AY8">
        <v>126.25183828025094</v>
      </c>
      <c r="AZ8">
        <v>125.00816391930974</v>
      </c>
      <c r="BA8">
        <v>2</v>
      </c>
      <c r="BB8">
        <v>4</v>
      </c>
      <c r="BC8">
        <v>2</v>
      </c>
      <c r="BD8">
        <v>360</v>
      </c>
      <c r="BE8">
        <v>387.24697208404541</v>
      </c>
      <c r="BF8">
        <v>384.2738340000069</v>
      </c>
      <c r="BG8">
        <v>127.93656132847623</v>
      </c>
      <c r="BH8">
        <v>125.00406532996631</v>
      </c>
      <c r="BI8">
        <v>2</v>
      </c>
      <c r="BJ8">
        <v>5</v>
      </c>
      <c r="BK8">
        <v>2</v>
      </c>
      <c r="BL8">
        <v>376</v>
      </c>
      <c r="BM8">
        <v>507.74286007881165</v>
      </c>
      <c r="BN8">
        <v>504.51177700000699</v>
      </c>
      <c r="BO8">
        <v>125.0006346492469</v>
      </c>
      <c r="BP8">
        <v>125.01169924163105</v>
      </c>
      <c r="BQ8">
        <v>3</v>
      </c>
      <c r="BR8">
        <v>3</v>
      </c>
      <c r="BS8">
        <v>3</v>
      </c>
      <c r="BT8">
        <v>452</v>
      </c>
      <c r="BU8">
        <v>496.98749995231628</v>
      </c>
      <c r="BV8">
        <v>493.57128400000511</v>
      </c>
      <c r="BW8">
        <v>125.00000000005377</v>
      </c>
      <c r="BX8">
        <v>125.00000000012243</v>
      </c>
      <c r="BY8">
        <v>125.0000000002141</v>
      </c>
      <c r="BZ8">
        <v>3</v>
      </c>
      <c r="CA8">
        <v>4</v>
      </c>
      <c r="CB8">
        <v>3</v>
      </c>
      <c r="CC8">
        <v>1707</v>
      </c>
      <c r="CD8">
        <v>2324.1710119247437</v>
      </c>
      <c r="CE8">
        <v>2307.7301100000041</v>
      </c>
      <c r="CF8">
        <v>125.00000000008235</v>
      </c>
      <c r="CG8">
        <v>125.00000000017617</v>
      </c>
      <c r="CH8">
        <v>125.00000000013837</v>
      </c>
      <c r="CI8">
        <v>3</v>
      </c>
      <c r="CJ8">
        <v>5</v>
      </c>
      <c r="CK8">
        <v>2</v>
      </c>
      <c r="CL8">
        <v>349</v>
      </c>
      <c r="CM8">
        <v>655.45900988578796</v>
      </c>
      <c r="CN8">
        <v>650.95962400001008</v>
      </c>
      <c r="CO8">
        <v>127.81112105745623</v>
      </c>
      <c r="CP8">
        <v>127.38506798904011</v>
      </c>
      <c r="CQ8">
        <v>125.00007815084685</v>
      </c>
    </row>
    <row r="9" spans="1:95" s="8" customFormat="1" x14ac:dyDescent="0.35">
      <c r="A9">
        <v>1008</v>
      </c>
      <c r="B9">
        <v>1</v>
      </c>
      <c r="C9">
        <v>1</v>
      </c>
      <c r="D9">
        <v>3</v>
      </c>
      <c r="E9">
        <v>157</v>
      </c>
      <c r="F9">
        <v>34.486299991607666</v>
      </c>
      <c r="G9">
        <v>34.272620999996434</v>
      </c>
      <c r="H9">
        <v>134.99999999997965</v>
      </c>
      <c r="I9">
        <v>1</v>
      </c>
      <c r="J9">
        <v>2</v>
      </c>
      <c r="K9">
        <v>3</v>
      </c>
      <c r="L9">
        <v>792</v>
      </c>
      <c r="M9">
        <v>337.09356713294983</v>
      </c>
      <c r="N9">
        <v>334.89610600000015</v>
      </c>
      <c r="O9">
        <v>134.99999999996544</v>
      </c>
      <c r="P9">
        <v>1</v>
      </c>
      <c r="Q9">
        <v>3</v>
      </c>
      <c r="R9">
        <v>3</v>
      </c>
      <c r="S9">
        <v>245</v>
      </c>
      <c r="T9">
        <v>164.49787878990173</v>
      </c>
      <c r="U9">
        <v>163.47991200000979</v>
      </c>
      <c r="V9">
        <v>134.9999999999651</v>
      </c>
      <c r="W9">
        <v>1</v>
      </c>
      <c r="X9">
        <v>4</v>
      </c>
      <c r="Y9">
        <v>3</v>
      </c>
      <c r="Z9">
        <v>432</v>
      </c>
      <c r="AA9">
        <v>379.46891689300537</v>
      </c>
      <c r="AB9">
        <v>376.84100699999544</v>
      </c>
      <c r="AC9">
        <v>134.99999999996609</v>
      </c>
      <c r="AD9">
        <v>1</v>
      </c>
      <c r="AE9">
        <v>5</v>
      </c>
      <c r="AF9">
        <v>3</v>
      </c>
      <c r="AG9">
        <v>1082</v>
      </c>
      <c r="AH9">
        <v>1311.2444000244141</v>
      </c>
      <c r="AI9">
        <v>1301.8245790000074</v>
      </c>
      <c r="AJ9">
        <v>134.99999999996049</v>
      </c>
      <c r="AK9">
        <v>2</v>
      </c>
      <c r="AL9">
        <v>2</v>
      </c>
      <c r="AM9">
        <v>3</v>
      </c>
      <c r="AN9">
        <v>1108</v>
      </c>
      <c r="AO9">
        <v>624.61480093002319</v>
      </c>
      <c r="AP9">
        <v>620.01525500002026</v>
      </c>
      <c r="AQ9">
        <v>134.9999999999726</v>
      </c>
      <c r="AR9">
        <v>134.99999999995467</v>
      </c>
      <c r="AS9">
        <v>2</v>
      </c>
      <c r="AT9">
        <v>3</v>
      </c>
      <c r="AU9">
        <v>3</v>
      </c>
      <c r="AV9">
        <v>714</v>
      </c>
      <c r="AW9">
        <v>695.92029714584351</v>
      </c>
      <c r="AX9">
        <v>690.68666599999415</v>
      </c>
      <c r="AY9">
        <v>134.9999999999641</v>
      </c>
      <c r="AZ9">
        <v>134.99999999997183</v>
      </c>
      <c r="BA9">
        <v>2</v>
      </c>
      <c r="BB9">
        <v>4</v>
      </c>
      <c r="BC9">
        <v>3</v>
      </c>
      <c r="BD9">
        <v>1125</v>
      </c>
      <c r="BE9">
        <v>1309.2368309497833</v>
      </c>
      <c r="BF9">
        <v>1300.1070699999982</v>
      </c>
      <c r="BG9">
        <v>134.9999999999599</v>
      </c>
      <c r="BH9">
        <v>134.99999999997991</v>
      </c>
      <c r="BI9">
        <v>2</v>
      </c>
      <c r="BJ9">
        <v>5</v>
      </c>
      <c r="BK9">
        <v>3</v>
      </c>
      <c r="BL9">
        <v>906</v>
      </c>
      <c r="BM9">
        <v>1554.9904451370239</v>
      </c>
      <c r="BN9">
        <v>1544.8582080000051</v>
      </c>
      <c r="BO9">
        <v>134.99999999997007</v>
      </c>
      <c r="BP9">
        <v>134.99999999998914</v>
      </c>
      <c r="BQ9">
        <v>3</v>
      </c>
      <c r="BR9">
        <v>3</v>
      </c>
      <c r="BS9">
        <v>2</v>
      </c>
      <c r="BT9">
        <v>1075</v>
      </c>
      <c r="BU9">
        <v>1161.6950449943542</v>
      </c>
      <c r="BV9">
        <v>1153.5261339999997</v>
      </c>
      <c r="BW9">
        <v>134.9628370318666</v>
      </c>
      <c r="BX9">
        <v>125.09356448380412</v>
      </c>
      <c r="BY9">
        <v>125.00000118541054</v>
      </c>
      <c r="BZ9">
        <v>3</v>
      </c>
      <c r="CA9">
        <v>4</v>
      </c>
      <c r="CB9">
        <v>3</v>
      </c>
      <c r="CC9">
        <v>982</v>
      </c>
      <c r="CD9">
        <v>1468.4422519207001</v>
      </c>
      <c r="CE9">
        <v>1457.8432539999922</v>
      </c>
      <c r="CF9">
        <v>134.99999999997061</v>
      </c>
      <c r="CG9">
        <v>134.99999999996757</v>
      </c>
      <c r="CH9">
        <v>134.99999999997308</v>
      </c>
      <c r="CI9">
        <v>3</v>
      </c>
      <c r="CJ9">
        <v>5</v>
      </c>
      <c r="CK9">
        <v>2</v>
      </c>
      <c r="CL9">
        <v>566</v>
      </c>
      <c r="CM9">
        <v>1008.4563798904419</v>
      </c>
      <c r="CN9">
        <v>1001.5215940000053</v>
      </c>
      <c r="CO9">
        <v>134.9999680361737</v>
      </c>
      <c r="CP9">
        <v>129.66505459913475</v>
      </c>
      <c r="CQ9">
        <v>125.02430638343351</v>
      </c>
    </row>
    <row r="10" spans="1:95" s="8" customFormat="1" x14ac:dyDescent="0.35">
      <c r="A10">
        <v>1009</v>
      </c>
      <c r="B10">
        <v>1</v>
      </c>
      <c r="C10">
        <v>1</v>
      </c>
      <c r="D10">
        <v>3</v>
      </c>
      <c r="E10">
        <v>1701</v>
      </c>
      <c r="F10">
        <v>362.99526500701904</v>
      </c>
      <c r="G10">
        <v>360.33225599999423</v>
      </c>
      <c r="H10">
        <v>125.0000000000606</v>
      </c>
      <c r="I10">
        <v>1</v>
      </c>
      <c r="J10">
        <v>2</v>
      </c>
      <c r="K10">
        <v>3</v>
      </c>
      <c r="L10">
        <v>545</v>
      </c>
      <c r="M10">
        <v>219.92844390869141</v>
      </c>
      <c r="N10">
        <v>218.57284800001071</v>
      </c>
      <c r="O10">
        <v>125.00000000007019</v>
      </c>
      <c r="P10">
        <v>1</v>
      </c>
      <c r="Q10">
        <v>3</v>
      </c>
      <c r="R10">
        <v>3</v>
      </c>
      <c r="S10">
        <v>259</v>
      </c>
      <c r="T10">
        <v>152.30083584785461</v>
      </c>
      <c r="U10">
        <v>151.69415999998455</v>
      </c>
      <c r="V10">
        <v>125.00000000008438</v>
      </c>
      <c r="W10">
        <v>1</v>
      </c>
      <c r="X10">
        <v>4</v>
      </c>
      <c r="Y10">
        <v>7</v>
      </c>
      <c r="Z10">
        <v>2309</v>
      </c>
      <c r="AA10">
        <v>1980.4722039699554</v>
      </c>
      <c r="AB10">
        <v>1965.2856230000034</v>
      </c>
      <c r="AC10">
        <v>125.00119888961243</v>
      </c>
      <c r="AD10">
        <v>1</v>
      </c>
      <c r="AE10">
        <v>5</v>
      </c>
      <c r="AF10">
        <v>3</v>
      </c>
      <c r="AG10">
        <v>911</v>
      </c>
      <c r="AH10">
        <v>924.25948286056519</v>
      </c>
      <c r="AI10">
        <v>917.33158600001479</v>
      </c>
      <c r="AJ10">
        <v>125.00000515704299</v>
      </c>
      <c r="AK10">
        <v>2</v>
      </c>
      <c r="AL10">
        <v>2</v>
      </c>
      <c r="AM10">
        <v>3</v>
      </c>
      <c r="AN10">
        <v>531</v>
      </c>
      <c r="AO10">
        <v>322.23381900787354</v>
      </c>
      <c r="AP10">
        <v>319.77706699998816</v>
      </c>
      <c r="AQ10">
        <v>125.00000000008129</v>
      </c>
      <c r="AR10">
        <v>125.00000000014063</v>
      </c>
      <c r="AS10">
        <v>2</v>
      </c>
      <c r="AT10">
        <v>3</v>
      </c>
      <c r="AU10">
        <v>3</v>
      </c>
      <c r="AV10">
        <v>1994</v>
      </c>
      <c r="AW10">
        <v>1595.5901911258698</v>
      </c>
      <c r="AX10">
        <v>1583.5133710000082</v>
      </c>
      <c r="AY10">
        <v>125.00000000011703</v>
      </c>
      <c r="AZ10">
        <v>125.00000000009328</v>
      </c>
      <c r="BA10">
        <v>2</v>
      </c>
      <c r="BB10">
        <v>4</v>
      </c>
      <c r="BC10">
        <v>2</v>
      </c>
      <c r="BD10">
        <v>1677</v>
      </c>
      <c r="BE10">
        <v>1822.7062439918518</v>
      </c>
      <c r="BF10">
        <v>1808.3865800000058</v>
      </c>
      <c r="BG10">
        <v>125.00008945973994</v>
      </c>
      <c r="BH10">
        <v>125.00005194134178</v>
      </c>
      <c r="BI10">
        <v>2</v>
      </c>
      <c r="BJ10">
        <v>5</v>
      </c>
      <c r="BK10">
        <v>3</v>
      </c>
      <c r="BL10">
        <v>832</v>
      </c>
      <c r="BM10">
        <v>1143.4894368648529</v>
      </c>
      <c r="BN10">
        <v>1134.9493669999938</v>
      </c>
      <c r="BO10">
        <v>134.99999999977467</v>
      </c>
      <c r="BP10">
        <v>125.00000000002797</v>
      </c>
      <c r="BQ10">
        <v>3</v>
      </c>
      <c r="BR10">
        <v>3</v>
      </c>
      <c r="BS10">
        <v>3</v>
      </c>
      <c r="BT10">
        <v>2312</v>
      </c>
      <c r="BU10">
        <v>2688.8795771598816</v>
      </c>
      <c r="BV10">
        <v>2668.198046000005</v>
      </c>
      <c r="BW10">
        <v>125.00000000007103</v>
      </c>
      <c r="BX10">
        <v>125.0000000000903</v>
      </c>
      <c r="BY10">
        <v>125.00000000015189</v>
      </c>
      <c r="BZ10">
        <v>3</v>
      </c>
      <c r="CA10">
        <v>4</v>
      </c>
      <c r="CB10">
        <v>3</v>
      </c>
      <c r="CC10">
        <v>2238</v>
      </c>
      <c r="CD10">
        <v>3175.3518171310425</v>
      </c>
      <c r="CE10">
        <v>3150.3942689999967</v>
      </c>
      <c r="CF10">
        <v>125.00000003863731</v>
      </c>
      <c r="CG10">
        <v>125.00000003744768</v>
      </c>
      <c r="CH10">
        <v>125.00000534279746</v>
      </c>
      <c r="CI10">
        <v>3</v>
      </c>
      <c r="CJ10">
        <v>5</v>
      </c>
      <c r="CK10">
        <v>2</v>
      </c>
      <c r="CL10">
        <v>465</v>
      </c>
      <c r="CM10">
        <v>784.13662695884705</v>
      </c>
      <c r="CN10">
        <v>778.11144700000295</v>
      </c>
      <c r="CO10">
        <v>125.00001709506245</v>
      </c>
      <c r="CP10">
        <v>125.0000152302012</v>
      </c>
      <c r="CQ10">
        <v>125.00001168830462</v>
      </c>
    </row>
    <row r="11" spans="1:95" s="8" customFormat="1" x14ac:dyDescent="0.35">
      <c r="A11">
        <v>1010</v>
      </c>
      <c r="B11">
        <v>1</v>
      </c>
      <c r="C11">
        <v>1</v>
      </c>
      <c r="D11">
        <v>3</v>
      </c>
      <c r="E11">
        <v>336</v>
      </c>
      <c r="F11">
        <v>68.968292951583862</v>
      </c>
      <c r="G11">
        <v>68.569659999993746</v>
      </c>
      <c r="H11">
        <v>125.00000000007316</v>
      </c>
      <c r="I11">
        <v>1</v>
      </c>
      <c r="J11">
        <v>2</v>
      </c>
      <c r="K11">
        <v>3</v>
      </c>
      <c r="L11">
        <v>2050</v>
      </c>
      <c r="M11">
        <v>826.43664908409119</v>
      </c>
      <c r="N11">
        <v>820.81573600000411</v>
      </c>
      <c r="O11">
        <v>125.0000000000886</v>
      </c>
      <c r="P11">
        <v>1</v>
      </c>
      <c r="Q11">
        <v>3</v>
      </c>
      <c r="R11">
        <v>3</v>
      </c>
      <c r="S11">
        <v>250</v>
      </c>
      <c r="T11">
        <v>149.11585879325867</v>
      </c>
      <c r="U11">
        <v>148.44473899999866</v>
      </c>
      <c r="V11">
        <v>125.00000000010985</v>
      </c>
      <c r="W11">
        <v>1</v>
      </c>
      <c r="X11">
        <v>4</v>
      </c>
      <c r="Y11">
        <v>3</v>
      </c>
      <c r="Z11">
        <v>336</v>
      </c>
      <c r="AA11">
        <v>272.0026330947876</v>
      </c>
      <c r="AB11">
        <v>270.35339800000656</v>
      </c>
      <c r="AC11">
        <v>125.00000000014869</v>
      </c>
      <c r="AD11">
        <v>1</v>
      </c>
      <c r="AE11">
        <v>5</v>
      </c>
      <c r="AF11">
        <v>3</v>
      </c>
      <c r="AG11">
        <v>890</v>
      </c>
      <c r="AH11">
        <v>1040.0099160671234</v>
      </c>
      <c r="AI11">
        <v>1032.4433940000163</v>
      </c>
      <c r="AJ11">
        <v>125.00000000020296</v>
      </c>
      <c r="AK11">
        <v>2</v>
      </c>
      <c r="AL11">
        <v>2</v>
      </c>
      <c r="AM11">
        <v>3</v>
      </c>
      <c r="AN11">
        <v>310</v>
      </c>
      <c r="AO11">
        <v>166.5257830619812</v>
      </c>
      <c r="AP11">
        <v>165.10983699999633</v>
      </c>
      <c r="AQ11">
        <v>125.00000000006362</v>
      </c>
      <c r="AR11">
        <v>125.00000000014566</v>
      </c>
      <c r="AS11">
        <v>2</v>
      </c>
      <c r="AT11">
        <v>3</v>
      </c>
      <c r="AU11">
        <v>2</v>
      </c>
      <c r="AV11">
        <v>384</v>
      </c>
      <c r="AW11">
        <v>316.65904808044434</v>
      </c>
      <c r="AX11">
        <v>314.2253989999881</v>
      </c>
      <c r="AY11">
        <v>126.16760841703078</v>
      </c>
      <c r="AZ11">
        <v>125.04564510985784</v>
      </c>
      <c r="BA11">
        <v>2</v>
      </c>
      <c r="BB11">
        <v>4</v>
      </c>
      <c r="BC11">
        <v>2</v>
      </c>
      <c r="BD11">
        <v>480</v>
      </c>
      <c r="BE11">
        <v>523.21710801124573</v>
      </c>
      <c r="BF11">
        <v>519.53309500002069</v>
      </c>
      <c r="BG11">
        <v>125.00028828585481</v>
      </c>
      <c r="BH11">
        <v>125.04676689924401</v>
      </c>
      <c r="BI11">
        <v>2</v>
      </c>
      <c r="BJ11">
        <v>5</v>
      </c>
      <c r="BK11">
        <v>2</v>
      </c>
      <c r="BL11">
        <v>592</v>
      </c>
      <c r="BM11">
        <v>822.70392203330994</v>
      </c>
      <c r="BN11">
        <v>816.88696699999855</v>
      </c>
      <c r="BO11">
        <v>128.3849663718799</v>
      </c>
      <c r="BP11">
        <v>125.00011914647027</v>
      </c>
      <c r="BQ11">
        <v>3</v>
      </c>
      <c r="BR11">
        <v>3</v>
      </c>
      <c r="BS11">
        <v>2</v>
      </c>
      <c r="BT11">
        <v>563</v>
      </c>
      <c r="BU11">
        <v>582.05608487129211</v>
      </c>
      <c r="BV11">
        <v>578.25679800000216</v>
      </c>
      <c r="BW11">
        <v>125.00013094630077</v>
      </c>
      <c r="BX11">
        <v>125.0002320553411</v>
      </c>
      <c r="BY11">
        <v>125.0044989523326</v>
      </c>
      <c r="BZ11">
        <v>3</v>
      </c>
      <c r="CA11">
        <v>4</v>
      </c>
      <c r="CB11">
        <v>2</v>
      </c>
      <c r="CC11">
        <v>458</v>
      </c>
      <c r="CD11">
        <v>623.88109302520752</v>
      </c>
      <c r="CE11">
        <v>619.56988399999682</v>
      </c>
      <c r="CF11">
        <v>125.7588728630344</v>
      </c>
      <c r="CG11">
        <v>126.0658417254043</v>
      </c>
      <c r="CH11">
        <v>125.00000648478915</v>
      </c>
      <c r="CI11">
        <v>3</v>
      </c>
      <c r="CJ11">
        <v>5</v>
      </c>
      <c r="CK11">
        <v>3</v>
      </c>
      <c r="CL11">
        <v>1890</v>
      </c>
      <c r="CM11">
        <v>3206.9092788696289</v>
      </c>
      <c r="CN11">
        <v>3183.3319990000164</v>
      </c>
      <c r="CO11">
        <v>125.00000000017985</v>
      </c>
      <c r="CP11">
        <v>125.00000000027524</v>
      </c>
      <c r="CQ11">
        <v>125.00000000017839</v>
      </c>
    </row>
    <row r="12" spans="1:95" s="8" customFormat="1" x14ac:dyDescent="0.35">
      <c r="A12">
        <v>1011</v>
      </c>
      <c r="B12">
        <v>1</v>
      </c>
      <c r="C12">
        <v>1</v>
      </c>
      <c r="D12">
        <v>3</v>
      </c>
      <c r="E12">
        <v>119</v>
      </c>
      <c r="F12">
        <v>26.354416131973267</v>
      </c>
      <c r="G12">
        <v>26.223594999999932</v>
      </c>
      <c r="H12">
        <v>125.00000000006801</v>
      </c>
      <c r="I12">
        <v>1</v>
      </c>
      <c r="J12">
        <v>2</v>
      </c>
      <c r="K12">
        <v>3</v>
      </c>
      <c r="L12">
        <v>256</v>
      </c>
      <c r="M12">
        <v>114.59429788589478</v>
      </c>
      <c r="N12">
        <v>114.08987500000001</v>
      </c>
      <c r="O12">
        <v>125.00000000008819</v>
      </c>
      <c r="P12">
        <v>1</v>
      </c>
      <c r="Q12">
        <v>3</v>
      </c>
      <c r="R12">
        <v>3</v>
      </c>
      <c r="S12">
        <v>427</v>
      </c>
      <c r="T12">
        <v>285.57063889503479</v>
      </c>
      <c r="U12">
        <v>279.6846559999999</v>
      </c>
      <c r="V12">
        <v>125.00000000010949</v>
      </c>
      <c r="W12">
        <v>1</v>
      </c>
      <c r="X12">
        <v>4</v>
      </c>
      <c r="Y12">
        <v>3</v>
      </c>
      <c r="Z12">
        <v>138</v>
      </c>
      <c r="AA12">
        <v>119.85603499412537</v>
      </c>
      <c r="AB12">
        <v>119.19814300000007</v>
      </c>
      <c r="AC12">
        <v>125.00000000013986</v>
      </c>
      <c r="AD12">
        <v>1</v>
      </c>
      <c r="AE12">
        <v>5</v>
      </c>
      <c r="AF12">
        <v>2</v>
      </c>
      <c r="AG12">
        <v>470</v>
      </c>
      <c r="AH12">
        <v>561.16438508033752</v>
      </c>
      <c r="AI12">
        <v>550.03581299999996</v>
      </c>
      <c r="AJ12">
        <v>125.00397685673158</v>
      </c>
      <c r="AK12">
        <v>2</v>
      </c>
      <c r="AL12">
        <v>2</v>
      </c>
      <c r="AM12">
        <v>2</v>
      </c>
      <c r="AN12">
        <v>937</v>
      </c>
      <c r="AO12">
        <v>572.74929094314575</v>
      </c>
      <c r="AP12">
        <v>562.14663199999973</v>
      </c>
      <c r="AQ12">
        <v>125.00000663195685</v>
      </c>
      <c r="AR12">
        <v>125.00139143740077</v>
      </c>
      <c r="AS12">
        <v>2</v>
      </c>
      <c r="AT12">
        <v>3</v>
      </c>
      <c r="AU12">
        <v>3</v>
      </c>
      <c r="AV12">
        <v>421</v>
      </c>
      <c r="AW12">
        <v>396.37479090690613</v>
      </c>
      <c r="AX12">
        <v>390.20818899999995</v>
      </c>
      <c r="AY12">
        <v>125.00000000009976</v>
      </c>
      <c r="AZ12">
        <v>125.00000000012182</v>
      </c>
      <c r="BA12">
        <v>2</v>
      </c>
      <c r="BB12">
        <v>4</v>
      </c>
      <c r="BC12">
        <v>3</v>
      </c>
      <c r="BD12">
        <v>695</v>
      </c>
      <c r="BE12">
        <v>882.90224099159241</v>
      </c>
      <c r="BF12">
        <v>866.79664200000025</v>
      </c>
      <c r="BG12">
        <v>127.46607087454467</v>
      </c>
      <c r="BH12">
        <v>125.01015150909745</v>
      </c>
      <c r="BI12">
        <v>2</v>
      </c>
      <c r="BJ12">
        <v>5</v>
      </c>
      <c r="BK12">
        <v>2</v>
      </c>
      <c r="BL12">
        <v>601</v>
      </c>
      <c r="BM12">
        <v>830.04027199745178</v>
      </c>
      <c r="BN12">
        <v>813.55642399999897</v>
      </c>
      <c r="BO12">
        <v>125.00019549565498</v>
      </c>
      <c r="BP12">
        <v>125.03789950076678</v>
      </c>
      <c r="BQ12">
        <v>3</v>
      </c>
      <c r="BR12">
        <v>3</v>
      </c>
      <c r="BS12">
        <v>2</v>
      </c>
      <c r="BT12">
        <v>681</v>
      </c>
      <c r="BU12">
        <v>679.00985884666443</v>
      </c>
      <c r="BV12">
        <v>670.1586840000009</v>
      </c>
      <c r="BW12">
        <v>125.0204084682376</v>
      </c>
      <c r="BX12">
        <v>125.00309477454569</v>
      </c>
      <c r="BY12">
        <v>126.4267026534053</v>
      </c>
      <c r="BZ12">
        <v>3</v>
      </c>
      <c r="CA12">
        <v>4</v>
      </c>
      <c r="CB12">
        <v>2</v>
      </c>
      <c r="CC12">
        <v>705</v>
      </c>
      <c r="CD12">
        <v>1051.839802980423</v>
      </c>
      <c r="CE12">
        <v>1043.059424</v>
      </c>
      <c r="CF12">
        <v>125.21807956008242</v>
      </c>
      <c r="CG12">
        <v>126.45195173980942</v>
      </c>
      <c r="CH12">
        <v>125.00000340323639</v>
      </c>
      <c r="CI12">
        <v>3</v>
      </c>
      <c r="CJ12">
        <v>5</v>
      </c>
      <c r="CK12">
        <v>2</v>
      </c>
      <c r="CL12">
        <v>549</v>
      </c>
      <c r="CM12">
        <v>1027.036731004715</v>
      </c>
      <c r="CN12">
        <v>1018.4584530000002</v>
      </c>
      <c r="CO12">
        <v>125.00024893574587</v>
      </c>
      <c r="CP12">
        <v>125.24075651595076</v>
      </c>
      <c r="CQ12">
        <v>125.00048574546373</v>
      </c>
    </row>
    <row r="13" spans="1:95" s="8" customFormat="1" x14ac:dyDescent="0.35">
      <c r="A13">
        <v>1012</v>
      </c>
      <c r="B13">
        <v>1</v>
      </c>
      <c r="C13">
        <v>1</v>
      </c>
      <c r="D13">
        <v>3</v>
      </c>
      <c r="E13">
        <v>273</v>
      </c>
      <c r="F13">
        <v>59.966364860534668</v>
      </c>
      <c r="G13">
        <v>59.560601000001043</v>
      </c>
      <c r="H13">
        <v>125.00000000007495</v>
      </c>
      <c r="I13">
        <v>1</v>
      </c>
      <c r="J13">
        <v>2</v>
      </c>
      <c r="K13">
        <v>3</v>
      </c>
      <c r="L13">
        <v>105</v>
      </c>
      <c r="M13">
        <v>40.119640827178955</v>
      </c>
      <c r="N13">
        <v>39.707512000000861</v>
      </c>
      <c r="O13">
        <v>125.00000000009823</v>
      </c>
      <c r="P13">
        <v>1</v>
      </c>
      <c r="Q13">
        <v>3</v>
      </c>
      <c r="R13">
        <v>3</v>
      </c>
      <c r="S13">
        <v>2528</v>
      </c>
      <c r="T13">
        <v>1732.6288800239563</v>
      </c>
      <c r="U13">
        <v>1717.0669799999996</v>
      </c>
      <c r="V13">
        <v>125.00000000010006</v>
      </c>
      <c r="W13">
        <v>1</v>
      </c>
      <c r="X13">
        <v>4</v>
      </c>
      <c r="Y13">
        <v>2</v>
      </c>
      <c r="Z13">
        <v>1069</v>
      </c>
      <c r="AA13">
        <v>883.51218295097351</v>
      </c>
      <c r="AB13">
        <v>877.46979400000055</v>
      </c>
      <c r="AC13">
        <v>130.00881993584343</v>
      </c>
      <c r="AD13">
        <v>1</v>
      </c>
      <c r="AE13">
        <v>5</v>
      </c>
      <c r="AF13">
        <v>3</v>
      </c>
      <c r="AG13">
        <v>681</v>
      </c>
      <c r="AH13">
        <v>614.61053109169006</v>
      </c>
      <c r="AI13">
        <v>610.89896500000032</v>
      </c>
      <c r="AJ13">
        <v>125.0000000001469</v>
      </c>
      <c r="AK13">
        <v>2</v>
      </c>
      <c r="AL13">
        <v>2</v>
      </c>
      <c r="AM13">
        <v>3</v>
      </c>
      <c r="AN13">
        <v>302</v>
      </c>
      <c r="AO13">
        <v>145.82674193382263</v>
      </c>
      <c r="AP13">
        <v>144.88069599999835</v>
      </c>
      <c r="AQ13">
        <v>125.00000000006575</v>
      </c>
      <c r="AR13">
        <v>125.0000000001663</v>
      </c>
      <c r="AS13">
        <v>2</v>
      </c>
      <c r="AT13">
        <v>3</v>
      </c>
      <c r="AU13">
        <v>2</v>
      </c>
      <c r="AV13">
        <v>600</v>
      </c>
      <c r="AW13">
        <v>451.22518181800842</v>
      </c>
      <c r="AX13">
        <v>448.45057699999961</v>
      </c>
      <c r="AY13">
        <v>125.0000811735304</v>
      </c>
      <c r="AZ13">
        <v>125.00162962820855</v>
      </c>
      <c r="BA13">
        <v>2</v>
      </c>
      <c r="BB13">
        <v>4</v>
      </c>
      <c r="BC13">
        <v>2</v>
      </c>
      <c r="BD13">
        <v>467</v>
      </c>
      <c r="BE13">
        <v>462.28567504882813</v>
      </c>
      <c r="BF13">
        <v>459.28174199999921</v>
      </c>
      <c r="BG13">
        <v>130.65565779997712</v>
      </c>
      <c r="BH13">
        <v>125.00034747917269</v>
      </c>
      <c r="BI13">
        <v>2</v>
      </c>
      <c r="BJ13">
        <v>5</v>
      </c>
      <c r="BK13">
        <v>2</v>
      </c>
      <c r="BL13">
        <v>561</v>
      </c>
      <c r="BM13">
        <v>730.83496499061584</v>
      </c>
      <c r="BN13">
        <v>726.35496500000045</v>
      </c>
      <c r="BO13">
        <v>127.63007076976874</v>
      </c>
      <c r="BP13">
        <v>125.00195393105628</v>
      </c>
      <c r="BQ13">
        <v>3</v>
      </c>
      <c r="BR13">
        <v>3</v>
      </c>
      <c r="BS13">
        <v>3</v>
      </c>
      <c r="BT13">
        <v>404</v>
      </c>
      <c r="BU13">
        <v>388.12147903442383</v>
      </c>
      <c r="BV13">
        <v>385.4171920000008</v>
      </c>
      <c r="BW13">
        <v>125.00000000006123</v>
      </c>
      <c r="BX13">
        <v>125.00000000011678</v>
      </c>
      <c r="BY13">
        <v>125.00000000019112</v>
      </c>
      <c r="BZ13">
        <v>3</v>
      </c>
      <c r="CA13">
        <v>4</v>
      </c>
      <c r="CB13">
        <v>2</v>
      </c>
      <c r="CC13">
        <v>644</v>
      </c>
      <c r="CD13">
        <v>888.136803150177</v>
      </c>
      <c r="CE13">
        <v>882.95606499999849</v>
      </c>
      <c r="CF13">
        <v>129.06296033589189</v>
      </c>
      <c r="CG13">
        <v>130.15142177685976</v>
      </c>
      <c r="CH13">
        <v>125.00139195669681</v>
      </c>
      <c r="CI13">
        <v>3</v>
      </c>
      <c r="CJ13">
        <v>5</v>
      </c>
      <c r="CK13">
        <v>2</v>
      </c>
      <c r="CL13">
        <v>808</v>
      </c>
      <c r="CM13">
        <v>1397.7731430530548</v>
      </c>
      <c r="CN13">
        <v>1388.9429470000014</v>
      </c>
      <c r="CO13">
        <v>125.00038383223301</v>
      </c>
      <c r="CP13">
        <v>125.07846600769079</v>
      </c>
      <c r="CQ13">
        <v>125.00021976856625</v>
      </c>
    </row>
    <row r="14" spans="1:95" s="8" customFormat="1" x14ac:dyDescent="0.35">
      <c r="A14">
        <v>1013</v>
      </c>
      <c r="B14">
        <v>1</v>
      </c>
      <c r="C14">
        <v>1</v>
      </c>
      <c r="D14">
        <v>3</v>
      </c>
      <c r="E14">
        <v>99</v>
      </c>
      <c r="F14">
        <v>19.055591106414795</v>
      </c>
      <c r="G14">
        <v>18.937111000002915</v>
      </c>
      <c r="H14">
        <v>125.0000000000548</v>
      </c>
      <c r="I14">
        <v>1</v>
      </c>
      <c r="J14">
        <v>2</v>
      </c>
      <c r="K14">
        <v>3</v>
      </c>
      <c r="L14">
        <v>1472</v>
      </c>
      <c r="M14">
        <v>621.89175295829773</v>
      </c>
      <c r="N14">
        <v>617.84378199999992</v>
      </c>
      <c r="O14">
        <v>125.00000000006339</v>
      </c>
      <c r="P14">
        <v>1</v>
      </c>
      <c r="Q14">
        <v>3</v>
      </c>
      <c r="R14">
        <v>3</v>
      </c>
      <c r="S14">
        <v>2516</v>
      </c>
      <c r="T14">
        <v>1616.7886140346527</v>
      </c>
      <c r="U14">
        <v>1603.7124619999995</v>
      </c>
      <c r="V14">
        <v>125.00000000007027</v>
      </c>
      <c r="W14">
        <v>1</v>
      </c>
      <c r="X14">
        <v>4</v>
      </c>
      <c r="Y14">
        <v>3</v>
      </c>
      <c r="Z14">
        <v>295</v>
      </c>
      <c r="AA14">
        <v>256.05672407150269</v>
      </c>
      <c r="AB14">
        <v>254.84230000000025</v>
      </c>
      <c r="AC14">
        <v>125.00000000007428</v>
      </c>
      <c r="AD14">
        <v>1</v>
      </c>
      <c r="AE14">
        <v>5</v>
      </c>
      <c r="AF14">
        <v>3</v>
      </c>
      <c r="AG14">
        <v>181</v>
      </c>
      <c r="AH14">
        <v>170.73285698890686</v>
      </c>
      <c r="AI14">
        <v>169.8667060000007</v>
      </c>
      <c r="AJ14">
        <v>125.00000000007329</v>
      </c>
      <c r="AK14">
        <v>2</v>
      </c>
      <c r="AL14">
        <v>2</v>
      </c>
      <c r="AM14">
        <v>2</v>
      </c>
      <c r="AN14">
        <v>366</v>
      </c>
      <c r="AO14">
        <v>190.93117785453796</v>
      </c>
      <c r="AP14">
        <v>189.74709399999847</v>
      </c>
      <c r="AQ14">
        <v>125.01123901425818</v>
      </c>
      <c r="AR14">
        <v>127.17678592349839</v>
      </c>
      <c r="AS14">
        <v>2</v>
      </c>
      <c r="AT14">
        <v>3</v>
      </c>
      <c r="AU14">
        <v>3</v>
      </c>
      <c r="AV14">
        <v>564</v>
      </c>
      <c r="AW14">
        <v>442.19657683372498</v>
      </c>
      <c r="AX14">
        <v>439.5135220000011</v>
      </c>
      <c r="AY14">
        <v>125.00000000006692</v>
      </c>
      <c r="AZ14">
        <v>125.000000000074</v>
      </c>
      <c r="BA14">
        <v>2</v>
      </c>
      <c r="BB14">
        <v>4</v>
      </c>
      <c r="BC14">
        <v>2</v>
      </c>
      <c r="BD14">
        <v>822</v>
      </c>
      <c r="BE14">
        <v>886.46432709693909</v>
      </c>
      <c r="BF14">
        <v>880.94609900000069</v>
      </c>
      <c r="BG14">
        <v>125.00000339509481</v>
      </c>
      <c r="BH14">
        <v>125.002675481388</v>
      </c>
      <c r="BI14">
        <v>2</v>
      </c>
      <c r="BJ14">
        <v>5</v>
      </c>
      <c r="BK14">
        <v>2</v>
      </c>
      <c r="BL14">
        <v>363</v>
      </c>
      <c r="BM14">
        <v>503.29587602615356</v>
      </c>
      <c r="BN14">
        <v>500.62353799999983</v>
      </c>
      <c r="BO14">
        <v>128.79461544455847</v>
      </c>
      <c r="BP14">
        <v>125.00440771883005</v>
      </c>
      <c r="BQ14">
        <v>3</v>
      </c>
      <c r="BR14">
        <v>3</v>
      </c>
      <c r="BS14">
        <v>2</v>
      </c>
      <c r="BT14">
        <v>396</v>
      </c>
      <c r="BU14">
        <v>373.68169403076172</v>
      </c>
      <c r="BV14">
        <v>371.75442699999985</v>
      </c>
      <c r="BW14">
        <v>125.01123901425818</v>
      </c>
      <c r="BX14">
        <v>125.69899429826341</v>
      </c>
      <c r="BY14">
        <v>127.66134576935556</v>
      </c>
      <c r="BZ14">
        <v>3</v>
      </c>
      <c r="CA14">
        <v>4</v>
      </c>
      <c r="CB14">
        <v>2</v>
      </c>
      <c r="CC14">
        <v>707</v>
      </c>
      <c r="CD14">
        <v>1033.2366979122162</v>
      </c>
      <c r="CE14">
        <v>1026.7487739999997</v>
      </c>
      <c r="CF14">
        <v>125.4211353517931</v>
      </c>
      <c r="CG14">
        <v>125.00727768957762</v>
      </c>
      <c r="CH14">
        <v>125.4565734712138</v>
      </c>
      <c r="CI14">
        <v>3</v>
      </c>
      <c r="CJ14">
        <v>5</v>
      </c>
      <c r="CK14">
        <v>2</v>
      </c>
      <c r="CL14">
        <v>553</v>
      </c>
      <c r="CM14">
        <v>962.85470986366272</v>
      </c>
      <c r="CN14">
        <v>956.72054999999818</v>
      </c>
      <c r="CO14">
        <v>125.00007705458648</v>
      </c>
      <c r="CP14">
        <v>125.00123044442364</v>
      </c>
      <c r="CQ14">
        <v>125.03658878107819</v>
      </c>
    </row>
    <row r="15" spans="1:95" s="8" customFormat="1" x14ac:dyDescent="0.35">
      <c r="A15">
        <v>1014</v>
      </c>
      <c r="B15">
        <v>1</v>
      </c>
      <c r="C15">
        <v>1</v>
      </c>
      <c r="D15">
        <v>3</v>
      </c>
      <c r="E15">
        <v>95</v>
      </c>
      <c r="F15">
        <v>24.645724058151245</v>
      </c>
      <c r="G15">
        <v>24.574354000000312</v>
      </c>
      <c r="H15">
        <v>125.00000000002564</v>
      </c>
      <c r="I15">
        <v>1</v>
      </c>
      <c r="J15">
        <v>2</v>
      </c>
      <c r="K15">
        <v>3</v>
      </c>
      <c r="L15">
        <v>277</v>
      </c>
      <c r="M15">
        <v>113.8793420791626</v>
      </c>
      <c r="N15">
        <v>113.1860880000022</v>
      </c>
      <c r="O15">
        <v>125.00000000003999</v>
      </c>
      <c r="P15">
        <v>1</v>
      </c>
      <c r="Q15">
        <v>3</v>
      </c>
      <c r="R15">
        <v>3</v>
      </c>
      <c r="S15">
        <v>686</v>
      </c>
      <c r="T15">
        <v>410.76291012763977</v>
      </c>
      <c r="U15">
        <v>405.88127999999779</v>
      </c>
      <c r="V15">
        <v>125.00000000005046</v>
      </c>
      <c r="W15">
        <v>1</v>
      </c>
      <c r="X15">
        <v>4</v>
      </c>
      <c r="Y15">
        <v>3</v>
      </c>
      <c r="Z15">
        <v>150</v>
      </c>
      <c r="AA15">
        <v>120.40316200256348</v>
      </c>
      <c r="AB15">
        <v>118.20523999999932</v>
      </c>
      <c r="AC15">
        <v>125.00000000005464</v>
      </c>
      <c r="AD15">
        <v>1</v>
      </c>
      <c r="AE15">
        <v>5</v>
      </c>
      <c r="AF15">
        <v>3</v>
      </c>
      <c r="AG15">
        <v>114</v>
      </c>
      <c r="AH15">
        <v>107.47821497917175</v>
      </c>
      <c r="AI15">
        <v>107.15284299999985</v>
      </c>
      <c r="AJ15">
        <v>125.00000000005856</v>
      </c>
      <c r="AK15">
        <v>2</v>
      </c>
      <c r="AL15">
        <v>2</v>
      </c>
      <c r="AM15">
        <v>3</v>
      </c>
      <c r="AN15">
        <v>371</v>
      </c>
      <c r="AO15">
        <v>190.43092679977417</v>
      </c>
      <c r="AP15">
        <v>188.50885899999776</v>
      </c>
      <c r="AQ15">
        <v>125.0000000000321</v>
      </c>
      <c r="AR15">
        <v>125.00000000005296</v>
      </c>
      <c r="AS15">
        <v>2</v>
      </c>
      <c r="AT15">
        <v>3</v>
      </c>
      <c r="AU15">
        <v>3</v>
      </c>
      <c r="AV15">
        <v>230</v>
      </c>
      <c r="AW15">
        <v>176.56578016281128</v>
      </c>
      <c r="AX15">
        <v>175.59177700000146</v>
      </c>
      <c r="AY15">
        <v>125.00000000005799</v>
      </c>
      <c r="AZ15">
        <v>125.00000000004465</v>
      </c>
      <c r="BA15">
        <v>2</v>
      </c>
      <c r="BB15">
        <v>4</v>
      </c>
      <c r="BC15">
        <v>3</v>
      </c>
      <c r="BD15">
        <v>218</v>
      </c>
      <c r="BE15">
        <v>223.29868817329407</v>
      </c>
      <c r="BF15">
        <v>221.94429600000149</v>
      </c>
      <c r="BG15">
        <v>125.00000000007418</v>
      </c>
      <c r="BH15">
        <v>125.00000000003583</v>
      </c>
      <c r="BI15">
        <v>2</v>
      </c>
      <c r="BJ15">
        <v>5</v>
      </c>
      <c r="BK15">
        <v>3</v>
      </c>
      <c r="BL15">
        <v>469</v>
      </c>
      <c r="BM15">
        <v>651.38019609451294</v>
      </c>
      <c r="BN15">
        <v>647.5617029999994</v>
      </c>
      <c r="BO15">
        <v>125.0000000001336</v>
      </c>
      <c r="BP15">
        <v>125.000000000046</v>
      </c>
      <c r="BQ15">
        <v>3</v>
      </c>
      <c r="BR15">
        <v>3</v>
      </c>
      <c r="BS15">
        <v>3</v>
      </c>
      <c r="BT15">
        <v>2127</v>
      </c>
      <c r="BU15">
        <v>2254.73459815979</v>
      </c>
      <c r="BV15">
        <v>2239.4756989999987</v>
      </c>
      <c r="BW15">
        <v>125.00000000003867</v>
      </c>
      <c r="BX15">
        <v>125.00000000004718</v>
      </c>
      <c r="BY15">
        <v>125.00000000008069</v>
      </c>
      <c r="BZ15">
        <v>3</v>
      </c>
      <c r="CA15">
        <v>4</v>
      </c>
      <c r="CB15">
        <v>3</v>
      </c>
      <c r="CC15">
        <v>3149</v>
      </c>
      <c r="CD15">
        <v>4264.6595239639282</v>
      </c>
      <c r="CE15">
        <v>4237.7265060000027</v>
      </c>
      <c r="CF15">
        <v>125.00000000004781</v>
      </c>
      <c r="CG15">
        <v>125.00000000005157</v>
      </c>
      <c r="CH15">
        <v>125.00000000004177</v>
      </c>
      <c r="CI15">
        <v>3</v>
      </c>
      <c r="CJ15">
        <v>5</v>
      </c>
      <c r="CK15">
        <v>3</v>
      </c>
      <c r="CL15">
        <v>933</v>
      </c>
      <c r="CM15">
        <v>1494.9259870052338</v>
      </c>
      <c r="CN15">
        <v>1486.4647320000004</v>
      </c>
      <c r="CO15">
        <v>125.0000000000888</v>
      </c>
      <c r="CP15">
        <v>125.00000000008977</v>
      </c>
      <c r="CQ15">
        <v>125.00000000004636</v>
      </c>
    </row>
    <row r="16" spans="1:95" s="8" customFormat="1" x14ac:dyDescent="0.35">
      <c r="A16">
        <v>1015</v>
      </c>
      <c r="B16">
        <v>1</v>
      </c>
      <c r="C16">
        <v>1</v>
      </c>
      <c r="D16">
        <v>3</v>
      </c>
      <c r="E16">
        <v>115</v>
      </c>
      <c r="F16">
        <v>28.410192966461182</v>
      </c>
      <c r="G16">
        <v>28.33846099999937</v>
      </c>
      <c r="H16">
        <v>125.00000000008016</v>
      </c>
      <c r="I16">
        <v>1</v>
      </c>
      <c r="J16">
        <v>2</v>
      </c>
      <c r="K16">
        <v>3</v>
      </c>
      <c r="L16">
        <v>77</v>
      </c>
      <c r="M16">
        <v>37.755093097686768</v>
      </c>
      <c r="N16">
        <v>37.680068999994546</v>
      </c>
      <c r="O16">
        <v>125.00000000009052</v>
      </c>
      <c r="P16">
        <v>1</v>
      </c>
      <c r="Q16">
        <v>3</v>
      </c>
      <c r="R16">
        <v>3</v>
      </c>
      <c r="S16">
        <v>608</v>
      </c>
      <c r="T16">
        <v>458.72391295433044</v>
      </c>
      <c r="U16">
        <v>451.43296399999963</v>
      </c>
      <c r="V16">
        <v>125.00000000010728</v>
      </c>
      <c r="W16">
        <v>1</v>
      </c>
      <c r="X16">
        <v>4</v>
      </c>
      <c r="Y16">
        <v>3</v>
      </c>
      <c r="Z16">
        <v>3650</v>
      </c>
      <c r="AA16">
        <v>3677.4970819950104</v>
      </c>
      <c r="AB16">
        <v>3642.4567459999962</v>
      </c>
      <c r="AC16">
        <v>125.00000000011495</v>
      </c>
      <c r="AD16">
        <v>1</v>
      </c>
      <c r="AE16">
        <v>5</v>
      </c>
      <c r="AF16">
        <v>3</v>
      </c>
      <c r="AG16">
        <v>297</v>
      </c>
      <c r="AH16">
        <v>292.10114097595215</v>
      </c>
      <c r="AI16">
        <v>290.95384500000364</v>
      </c>
      <c r="AJ16">
        <v>125.00000000013394</v>
      </c>
      <c r="AK16">
        <v>2</v>
      </c>
      <c r="AL16">
        <v>2</v>
      </c>
      <c r="AM16">
        <v>3</v>
      </c>
      <c r="AN16">
        <v>420</v>
      </c>
      <c r="AO16">
        <v>216.43831205368042</v>
      </c>
      <c r="AP16">
        <v>215.40473199999542</v>
      </c>
      <c r="AQ16">
        <v>125.00000000006112</v>
      </c>
      <c r="AR16">
        <v>125.00000000017428</v>
      </c>
      <c r="AS16">
        <v>2</v>
      </c>
      <c r="AT16">
        <v>3</v>
      </c>
      <c r="AU16">
        <v>3</v>
      </c>
      <c r="AV16">
        <v>513</v>
      </c>
      <c r="AW16">
        <v>412.51998805999756</v>
      </c>
      <c r="AX16">
        <v>408.59424299999228</v>
      </c>
      <c r="AY16">
        <v>125.00000000009751</v>
      </c>
      <c r="AZ16">
        <v>125.00000000012518</v>
      </c>
      <c r="BA16">
        <v>2</v>
      </c>
      <c r="BB16">
        <v>4</v>
      </c>
      <c r="BC16">
        <v>3</v>
      </c>
      <c r="BD16">
        <v>817</v>
      </c>
      <c r="BE16">
        <v>871.20182108879089</v>
      </c>
      <c r="BF16">
        <v>863.33247300000221</v>
      </c>
      <c r="BG16">
        <v>125.00000000012912</v>
      </c>
      <c r="BH16">
        <v>125.00000000010662</v>
      </c>
      <c r="BI16">
        <v>2</v>
      </c>
      <c r="BJ16">
        <v>5</v>
      </c>
      <c r="BK16">
        <v>2</v>
      </c>
      <c r="BL16">
        <v>513</v>
      </c>
      <c r="BM16">
        <v>677.51786804199219</v>
      </c>
      <c r="BN16">
        <v>673.68308000000252</v>
      </c>
      <c r="BO16">
        <v>127.93485185846095</v>
      </c>
      <c r="BP16">
        <v>125.00028951418268</v>
      </c>
      <c r="BQ16">
        <v>3</v>
      </c>
      <c r="BR16">
        <v>3</v>
      </c>
      <c r="BS16">
        <v>3</v>
      </c>
      <c r="BT16">
        <v>457</v>
      </c>
      <c r="BU16">
        <v>440.8880078792572</v>
      </c>
      <c r="BV16">
        <v>438.80685200000153</v>
      </c>
      <c r="BW16">
        <v>125.00000000006503</v>
      </c>
      <c r="BX16">
        <v>125.00000000014174</v>
      </c>
      <c r="BY16">
        <v>125.00000000020314</v>
      </c>
      <c r="BZ16">
        <v>3</v>
      </c>
      <c r="CA16">
        <v>4</v>
      </c>
      <c r="CB16">
        <v>2</v>
      </c>
      <c r="CC16">
        <v>29388</v>
      </c>
      <c r="CD16">
        <v>39883.330821990967</v>
      </c>
      <c r="CE16">
        <v>39611.139195000011</v>
      </c>
      <c r="CF16">
        <v>125.00101385783705</v>
      </c>
      <c r="CG16">
        <v>125.03672125754619</v>
      </c>
      <c r="CH16">
        <v>125.00000009899298</v>
      </c>
      <c r="CI16">
        <v>3</v>
      </c>
      <c r="CJ16">
        <v>5</v>
      </c>
      <c r="CK16">
        <v>2</v>
      </c>
      <c r="CL16">
        <v>707</v>
      </c>
      <c r="CM16">
        <v>1219.4472570419312</v>
      </c>
      <c r="CN16">
        <v>1210.6867090000014</v>
      </c>
      <c r="CO16">
        <v>125.00628216993498</v>
      </c>
      <c r="CP16">
        <v>127.30925555346593</v>
      </c>
      <c r="CQ16">
        <v>125.00086833164573</v>
      </c>
    </row>
    <row r="17" spans="1:95" s="8" customFormat="1" x14ac:dyDescent="0.35">
      <c r="A17">
        <v>1016</v>
      </c>
      <c r="B17">
        <v>1</v>
      </c>
      <c r="C17">
        <v>1</v>
      </c>
      <c r="D17">
        <v>3</v>
      </c>
      <c r="E17">
        <v>115</v>
      </c>
      <c r="F17">
        <v>23.085657835006714</v>
      </c>
      <c r="G17">
        <v>23.011524000001373</v>
      </c>
      <c r="H17">
        <v>125.00000000006722</v>
      </c>
      <c r="I17">
        <v>1</v>
      </c>
      <c r="J17">
        <v>2</v>
      </c>
      <c r="K17">
        <v>3</v>
      </c>
      <c r="L17">
        <v>319</v>
      </c>
      <c r="M17">
        <v>135.51597499847412</v>
      </c>
      <c r="N17">
        <v>134.55598600000667</v>
      </c>
      <c r="O17">
        <v>125.0000000000815</v>
      </c>
      <c r="P17">
        <v>1</v>
      </c>
      <c r="Q17">
        <v>3</v>
      </c>
      <c r="R17">
        <v>3</v>
      </c>
      <c r="S17">
        <v>239</v>
      </c>
      <c r="T17">
        <v>166.3018581867218</v>
      </c>
      <c r="U17">
        <v>165.06214700000419</v>
      </c>
      <c r="V17">
        <v>125.00000000009246</v>
      </c>
      <c r="W17">
        <v>1</v>
      </c>
      <c r="X17">
        <v>4</v>
      </c>
      <c r="Y17">
        <v>2</v>
      </c>
      <c r="Z17">
        <v>354</v>
      </c>
      <c r="AA17">
        <v>280.72904801368713</v>
      </c>
      <c r="AB17">
        <v>279.00905900000362</v>
      </c>
      <c r="AC17">
        <v>125.00032611516346</v>
      </c>
      <c r="AD17">
        <v>1</v>
      </c>
      <c r="AE17">
        <v>5</v>
      </c>
      <c r="AF17">
        <v>2</v>
      </c>
      <c r="AG17">
        <v>341</v>
      </c>
      <c r="AH17">
        <v>342.46630191802979</v>
      </c>
      <c r="AI17">
        <v>340.04182200001378</v>
      </c>
      <c r="AJ17">
        <v>125.00037177802952</v>
      </c>
      <c r="AK17">
        <v>2</v>
      </c>
      <c r="AL17">
        <v>2</v>
      </c>
      <c r="AM17">
        <v>3</v>
      </c>
      <c r="AN17">
        <v>300</v>
      </c>
      <c r="AO17">
        <v>163.50504803657532</v>
      </c>
      <c r="AP17">
        <v>162.34452799998689</v>
      </c>
      <c r="AQ17">
        <v>125.00000000005465</v>
      </c>
      <c r="AR17">
        <v>125.00000000016003</v>
      </c>
      <c r="AS17">
        <v>2</v>
      </c>
      <c r="AT17">
        <v>3</v>
      </c>
      <c r="AU17">
        <v>3</v>
      </c>
      <c r="AV17">
        <v>388</v>
      </c>
      <c r="AW17">
        <v>319.13440799713135</v>
      </c>
      <c r="AX17">
        <v>316.81307900001411</v>
      </c>
      <c r="AY17">
        <v>125.00000000008171</v>
      </c>
      <c r="AZ17">
        <v>125.00000000010645</v>
      </c>
      <c r="BA17">
        <v>2</v>
      </c>
      <c r="BB17">
        <v>4</v>
      </c>
      <c r="BC17">
        <v>2</v>
      </c>
      <c r="BD17">
        <v>592</v>
      </c>
      <c r="BE17">
        <v>626.4221830368042</v>
      </c>
      <c r="BF17">
        <v>622.52750100000412</v>
      </c>
      <c r="BG17">
        <v>127.4095379312777</v>
      </c>
      <c r="BH17">
        <v>125.00039706648923</v>
      </c>
      <c r="BI17">
        <v>2</v>
      </c>
      <c r="BJ17">
        <v>5</v>
      </c>
      <c r="BK17">
        <v>2</v>
      </c>
      <c r="BL17">
        <v>370</v>
      </c>
      <c r="BM17">
        <v>503.97359299659729</v>
      </c>
      <c r="BN17">
        <v>500.51510099999723</v>
      </c>
      <c r="BO17">
        <v>128.35921963236811</v>
      </c>
      <c r="BP17">
        <v>125.00145294742779</v>
      </c>
      <c r="BQ17">
        <v>3</v>
      </c>
      <c r="BR17">
        <v>3</v>
      </c>
      <c r="BS17">
        <v>2</v>
      </c>
      <c r="BT17">
        <v>638</v>
      </c>
      <c r="BU17">
        <v>711.42055988311768</v>
      </c>
      <c r="BV17">
        <v>706.43036700000812</v>
      </c>
      <c r="BW17">
        <v>125.00004030557706</v>
      </c>
      <c r="BX17">
        <v>125.00008187820315</v>
      </c>
      <c r="BY17">
        <v>125.01659538869416</v>
      </c>
      <c r="BZ17">
        <v>3</v>
      </c>
      <c r="CA17">
        <v>4</v>
      </c>
      <c r="CB17">
        <v>3</v>
      </c>
      <c r="CC17">
        <v>1768</v>
      </c>
      <c r="CD17">
        <v>2440.1641829013824</v>
      </c>
      <c r="CE17">
        <v>2420.7056509999966</v>
      </c>
      <c r="CF17">
        <v>125.00000000007763</v>
      </c>
      <c r="CG17">
        <v>125.00000000015912</v>
      </c>
      <c r="CH17">
        <v>125.00000000010428</v>
      </c>
      <c r="CI17">
        <v>3</v>
      </c>
      <c r="CJ17">
        <v>5</v>
      </c>
      <c r="CK17">
        <v>2</v>
      </c>
      <c r="CL17">
        <v>474</v>
      </c>
      <c r="CM17">
        <v>797.13048386573792</v>
      </c>
      <c r="CN17">
        <v>790.98519300000044</v>
      </c>
      <c r="CO17">
        <v>130.05893644371903</v>
      </c>
      <c r="CP17">
        <v>125.02545175913336</v>
      </c>
      <c r="CQ17">
        <v>125.00814808427715</v>
      </c>
    </row>
    <row r="18" spans="1:95" s="8" customFormat="1" x14ac:dyDescent="0.35">
      <c r="A18">
        <v>1017</v>
      </c>
      <c r="B18">
        <v>1</v>
      </c>
      <c r="C18">
        <v>1</v>
      </c>
      <c r="D18">
        <v>3</v>
      </c>
      <c r="E18">
        <v>142</v>
      </c>
      <c r="F18">
        <v>29.582380056381226</v>
      </c>
      <c r="G18">
        <v>29.348002000013366</v>
      </c>
      <c r="H18">
        <v>125.00000000004543</v>
      </c>
      <c r="I18">
        <v>1</v>
      </c>
      <c r="J18">
        <v>2</v>
      </c>
      <c r="K18">
        <v>2</v>
      </c>
      <c r="L18">
        <v>550</v>
      </c>
      <c r="M18">
        <v>222.70327806472778</v>
      </c>
      <c r="N18">
        <v>221.05445899997721</v>
      </c>
      <c r="O18">
        <v>125.00858220728898</v>
      </c>
      <c r="P18">
        <v>1</v>
      </c>
      <c r="Q18">
        <v>3</v>
      </c>
      <c r="R18">
        <v>2</v>
      </c>
      <c r="S18">
        <v>363</v>
      </c>
      <c r="T18">
        <v>226.85462117195129</v>
      </c>
      <c r="U18">
        <v>225.3167620000022</v>
      </c>
      <c r="V18">
        <v>125.00029095539587</v>
      </c>
      <c r="W18">
        <v>1</v>
      </c>
      <c r="X18">
        <v>4</v>
      </c>
      <c r="Y18">
        <v>2</v>
      </c>
      <c r="Z18">
        <v>332</v>
      </c>
      <c r="AA18">
        <v>286.13651084899902</v>
      </c>
      <c r="AB18">
        <v>284.0366459999932</v>
      </c>
      <c r="AC18">
        <v>125.00030276225863</v>
      </c>
      <c r="AD18">
        <v>1</v>
      </c>
      <c r="AE18">
        <v>5</v>
      </c>
      <c r="AF18">
        <v>2</v>
      </c>
      <c r="AG18">
        <v>377</v>
      </c>
      <c r="AH18">
        <v>372.39916586875916</v>
      </c>
      <c r="AI18">
        <v>370.05039399999077</v>
      </c>
      <c r="AJ18">
        <v>125.02043504590866</v>
      </c>
      <c r="AK18">
        <v>2</v>
      </c>
      <c r="AL18">
        <v>2</v>
      </c>
      <c r="AM18">
        <v>3</v>
      </c>
      <c r="AN18">
        <v>2177</v>
      </c>
      <c r="AO18">
        <v>1207.6891510486603</v>
      </c>
      <c r="AP18">
        <v>1197.9541560000071</v>
      </c>
      <c r="AQ18">
        <v>125.00000000003971</v>
      </c>
      <c r="AR18">
        <v>125.00000000020461</v>
      </c>
      <c r="AS18">
        <v>2</v>
      </c>
      <c r="AT18">
        <v>3</v>
      </c>
      <c r="AU18">
        <v>2</v>
      </c>
      <c r="AV18">
        <v>365</v>
      </c>
      <c r="AW18">
        <v>303.47930097579956</v>
      </c>
      <c r="AX18">
        <v>301.1079039999895</v>
      </c>
      <c r="AY18">
        <v>126.62117688950671</v>
      </c>
      <c r="AZ18">
        <v>125.00982689884799</v>
      </c>
      <c r="BA18">
        <v>2</v>
      </c>
      <c r="BB18">
        <v>4</v>
      </c>
      <c r="BC18">
        <v>2</v>
      </c>
      <c r="BD18">
        <v>428</v>
      </c>
      <c r="BE18">
        <v>501.01781296730042</v>
      </c>
      <c r="BF18">
        <v>497.1924480000016</v>
      </c>
      <c r="BG18">
        <v>125.0618300555123</v>
      </c>
      <c r="BH18">
        <v>125.00000560407302</v>
      </c>
      <c r="BI18">
        <v>2</v>
      </c>
      <c r="BJ18">
        <v>5</v>
      </c>
      <c r="BK18">
        <v>2</v>
      </c>
      <c r="BL18">
        <v>334</v>
      </c>
      <c r="BM18">
        <v>460.93454194068909</v>
      </c>
      <c r="BN18">
        <v>457.99068699999771</v>
      </c>
      <c r="BO18">
        <v>128.79937406348364</v>
      </c>
      <c r="BP18">
        <v>125.0002923556732</v>
      </c>
      <c r="BQ18">
        <v>3</v>
      </c>
      <c r="BR18">
        <v>3</v>
      </c>
      <c r="BS18">
        <v>2</v>
      </c>
      <c r="BT18">
        <v>792</v>
      </c>
      <c r="BU18">
        <v>904.74179911613464</v>
      </c>
      <c r="BV18">
        <v>897.6043090000021</v>
      </c>
      <c r="BW18">
        <v>125.00000159798793</v>
      </c>
      <c r="BX18">
        <v>125.00029703696752</v>
      </c>
      <c r="BY18">
        <v>125.00006375303697</v>
      </c>
      <c r="BZ18">
        <v>3</v>
      </c>
      <c r="CA18">
        <v>4</v>
      </c>
      <c r="CB18">
        <v>2</v>
      </c>
      <c r="CC18">
        <v>378</v>
      </c>
      <c r="CD18">
        <v>503.60383486747742</v>
      </c>
      <c r="CE18">
        <v>499.74919899998349</v>
      </c>
      <c r="CF18">
        <v>125.03713423177625</v>
      </c>
      <c r="CG18">
        <v>125.00000030674462</v>
      </c>
      <c r="CH18">
        <v>125.0010324549728</v>
      </c>
      <c r="CI18">
        <v>3</v>
      </c>
      <c r="CJ18">
        <v>5</v>
      </c>
      <c r="CK18">
        <v>2</v>
      </c>
      <c r="CL18">
        <v>426</v>
      </c>
      <c r="CM18">
        <v>702.39748907089233</v>
      </c>
      <c r="CN18">
        <v>697.77540200001386</v>
      </c>
      <c r="CO18">
        <v>128.47896133292465</v>
      </c>
      <c r="CP18">
        <v>125.00880627590212</v>
      </c>
      <c r="CQ18">
        <v>125.01430969560998</v>
      </c>
    </row>
    <row r="19" spans="1:95" s="8" customFormat="1" x14ac:dyDescent="0.35">
      <c r="A19">
        <v>1018</v>
      </c>
      <c r="B19">
        <v>1</v>
      </c>
      <c r="C19">
        <v>1</v>
      </c>
      <c r="D19">
        <v>2</v>
      </c>
      <c r="E19">
        <v>344</v>
      </c>
      <c r="F19">
        <v>71.609512090682983</v>
      </c>
      <c r="G19">
        <v>71.013353000002098</v>
      </c>
      <c r="H19">
        <v>125.0202596934149</v>
      </c>
      <c r="I19">
        <v>1</v>
      </c>
      <c r="J19">
        <v>2</v>
      </c>
      <c r="K19">
        <v>3</v>
      </c>
      <c r="L19">
        <v>251</v>
      </c>
      <c r="M19">
        <v>99.311100959777832</v>
      </c>
      <c r="N19">
        <v>98.839139000003343</v>
      </c>
      <c r="O19">
        <v>125.00000000015653</v>
      </c>
      <c r="P19">
        <v>1</v>
      </c>
      <c r="Q19">
        <v>3</v>
      </c>
      <c r="R19">
        <v>2</v>
      </c>
      <c r="S19">
        <v>622</v>
      </c>
      <c r="T19">
        <v>407.07905292510986</v>
      </c>
      <c r="U19">
        <v>404.02091599999403</v>
      </c>
      <c r="V19">
        <v>125.04329208599933</v>
      </c>
      <c r="W19">
        <v>1</v>
      </c>
      <c r="X19">
        <v>4</v>
      </c>
      <c r="Y19">
        <v>2</v>
      </c>
      <c r="Z19">
        <v>352</v>
      </c>
      <c r="AA19">
        <v>277.193598985672</v>
      </c>
      <c r="AB19">
        <v>275.27674900001148</v>
      </c>
      <c r="AC19">
        <v>125.04473503841167</v>
      </c>
      <c r="AD19">
        <v>1</v>
      </c>
      <c r="AE19">
        <v>5</v>
      </c>
      <c r="AF19">
        <v>2</v>
      </c>
      <c r="AG19">
        <v>344</v>
      </c>
      <c r="AH19">
        <v>343.46867799758911</v>
      </c>
      <c r="AI19">
        <v>340.75880799999868</v>
      </c>
      <c r="AJ19">
        <v>125.03620973480122</v>
      </c>
      <c r="AK19">
        <v>2</v>
      </c>
      <c r="AL19">
        <v>2</v>
      </c>
      <c r="AM19">
        <v>3</v>
      </c>
      <c r="AN19">
        <v>457</v>
      </c>
      <c r="AO19">
        <v>247.78194284439087</v>
      </c>
      <c r="AP19">
        <v>245.89652600001136</v>
      </c>
      <c r="AQ19">
        <v>125.00000000011039</v>
      </c>
      <c r="AR19">
        <v>125.00000000026945</v>
      </c>
      <c r="AS19">
        <v>2</v>
      </c>
      <c r="AT19">
        <v>3</v>
      </c>
      <c r="AU19">
        <v>2</v>
      </c>
      <c r="AV19">
        <v>393</v>
      </c>
      <c r="AW19">
        <v>317.10380911827087</v>
      </c>
      <c r="AX19">
        <v>314.71804500000144</v>
      </c>
      <c r="AY19">
        <v>125.00013749026412</v>
      </c>
      <c r="AZ19">
        <v>125.00495810486578</v>
      </c>
      <c r="BA19">
        <v>2</v>
      </c>
      <c r="BB19">
        <v>4</v>
      </c>
      <c r="BC19">
        <v>2</v>
      </c>
      <c r="BD19">
        <v>661</v>
      </c>
      <c r="BE19">
        <v>730.62260913848877</v>
      </c>
      <c r="BF19">
        <v>724.39847999998892</v>
      </c>
      <c r="BG19">
        <v>125.01364568460767</v>
      </c>
      <c r="BH19">
        <v>125.05042103408138</v>
      </c>
      <c r="BI19">
        <v>2</v>
      </c>
      <c r="BJ19">
        <v>5</v>
      </c>
      <c r="BK19">
        <v>2</v>
      </c>
      <c r="BL19">
        <v>470</v>
      </c>
      <c r="BM19">
        <v>619.19213485717773</v>
      </c>
      <c r="BN19">
        <v>614.74827399999776</v>
      </c>
      <c r="BO19">
        <v>125.01359521711235</v>
      </c>
      <c r="BP19">
        <v>125.00394697908591</v>
      </c>
      <c r="BQ19">
        <v>3</v>
      </c>
      <c r="BR19">
        <v>3</v>
      </c>
      <c r="BS19">
        <v>2</v>
      </c>
      <c r="BT19">
        <v>397</v>
      </c>
      <c r="BU19">
        <v>483.50977087020874</v>
      </c>
      <c r="BV19">
        <v>480.3419040000008</v>
      </c>
      <c r="BW19">
        <v>125.01359521711235</v>
      </c>
      <c r="BX19">
        <v>126.24582150966951</v>
      </c>
      <c r="BY19">
        <v>127.99825579076634</v>
      </c>
      <c r="BZ19">
        <v>3</v>
      </c>
      <c r="CA19">
        <v>4</v>
      </c>
      <c r="CB19">
        <v>2</v>
      </c>
      <c r="CC19">
        <v>358</v>
      </c>
      <c r="CD19">
        <v>475.64505791664124</v>
      </c>
      <c r="CE19">
        <v>472.44075800001156</v>
      </c>
      <c r="CF19">
        <v>125.00011258515869</v>
      </c>
      <c r="CG19">
        <v>125.66838747401508</v>
      </c>
      <c r="CH19">
        <v>125.18672809089021</v>
      </c>
      <c r="CI19">
        <v>3</v>
      </c>
      <c r="CJ19">
        <v>5</v>
      </c>
      <c r="CK19">
        <v>2</v>
      </c>
      <c r="CL19">
        <v>830</v>
      </c>
      <c r="CM19">
        <v>1387.9104390144348</v>
      </c>
      <c r="CN19">
        <v>1378.2244900000223</v>
      </c>
      <c r="CO19">
        <v>125.0003287122649</v>
      </c>
      <c r="CP19">
        <v>125.00678322782873</v>
      </c>
      <c r="CQ19">
        <v>125.00186077795234</v>
      </c>
    </row>
    <row r="20" spans="1:95" s="8" customFormat="1" x14ac:dyDescent="0.35">
      <c r="A20">
        <v>1019</v>
      </c>
      <c r="B20">
        <v>1</v>
      </c>
      <c r="C20">
        <v>1</v>
      </c>
      <c r="D20">
        <v>3</v>
      </c>
      <c r="E20">
        <v>243</v>
      </c>
      <c r="F20">
        <v>48.330658912658691</v>
      </c>
      <c r="G20">
        <v>48.034492999999202</v>
      </c>
      <c r="H20">
        <v>125.00000000006342</v>
      </c>
      <c r="I20">
        <v>1</v>
      </c>
      <c r="J20">
        <v>2</v>
      </c>
      <c r="K20">
        <v>3</v>
      </c>
      <c r="L20">
        <v>328</v>
      </c>
      <c r="M20">
        <v>127.47287893295288</v>
      </c>
      <c r="N20">
        <v>126.62333599998965</v>
      </c>
      <c r="O20">
        <v>125.00000000010573</v>
      </c>
      <c r="P20">
        <v>1</v>
      </c>
      <c r="Q20">
        <v>3</v>
      </c>
      <c r="R20">
        <v>3</v>
      </c>
      <c r="S20">
        <v>102</v>
      </c>
      <c r="T20">
        <v>64.931138038635254</v>
      </c>
      <c r="U20">
        <v>64.510908000011113</v>
      </c>
      <c r="V20">
        <v>125.00000000013868</v>
      </c>
      <c r="W20">
        <v>1</v>
      </c>
      <c r="X20">
        <v>4</v>
      </c>
      <c r="Y20">
        <v>3</v>
      </c>
      <c r="Z20">
        <v>124</v>
      </c>
      <c r="AA20">
        <v>101.54659390449524</v>
      </c>
      <c r="AB20">
        <v>100.91683500001091</v>
      </c>
      <c r="AC20">
        <v>125.00000000012975</v>
      </c>
      <c r="AD20">
        <v>1</v>
      </c>
      <c r="AE20">
        <v>5</v>
      </c>
      <c r="AF20">
        <v>2</v>
      </c>
      <c r="AG20">
        <v>405</v>
      </c>
      <c r="AH20">
        <v>427.56072282791138</v>
      </c>
      <c r="AI20">
        <v>424.5474530000065</v>
      </c>
      <c r="AJ20">
        <v>125.0251791238957</v>
      </c>
      <c r="AK20">
        <v>2</v>
      </c>
      <c r="AL20">
        <v>2</v>
      </c>
      <c r="AM20">
        <v>3</v>
      </c>
      <c r="AN20">
        <v>213</v>
      </c>
      <c r="AO20">
        <v>111.92043900489807</v>
      </c>
      <c r="AP20">
        <v>111.14377599999716</v>
      </c>
      <c r="AQ20">
        <v>125.00000000008168</v>
      </c>
      <c r="AR20">
        <v>125.00000000015542</v>
      </c>
      <c r="AS20">
        <v>2</v>
      </c>
      <c r="AT20">
        <v>3</v>
      </c>
      <c r="AU20">
        <v>3</v>
      </c>
      <c r="AV20">
        <v>151</v>
      </c>
      <c r="AW20">
        <v>120.54256892204285</v>
      </c>
      <c r="AX20">
        <v>119.85857399998349</v>
      </c>
      <c r="AY20">
        <v>125.00000000014137</v>
      </c>
      <c r="AZ20">
        <v>125.00000000013314</v>
      </c>
      <c r="BA20">
        <v>2</v>
      </c>
      <c r="BB20">
        <v>4</v>
      </c>
      <c r="BC20">
        <v>3</v>
      </c>
      <c r="BD20">
        <v>308</v>
      </c>
      <c r="BE20">
        <v>329.39039397239685</v>
      </c>
      <c r="BF20">
        <v>327.27859499999613</v>
      </c>
      <c r="BG20">
        <v>125.00000000016496</v>
      </c>
      <c r="BH20">
        <v>125.00000000010527</v>
      </c>
      <c r="BI20">
        <v>2</v>
      </c>
      <c r="BJ20">
        <v>5</v>
      </c>
      <c r="BK20">
        <v>3</v>
      </c>
      <c r="BL20">
        <v>913</v>
      </c>
      <c r="BM20">
        <v>1238.6583960056305</v>
      </c>
      <c r="BN20">
        <v>1229.9146040000051</v>
      </c>
      <c r="BO20">
        <v>125.00000000028862</v>
      </c>
      <c r="BP20">
        <v>125.00000000014097</v>
      </c>
      <c r="BQ20">
        <v>3</v>
      </c>
      <c r="BR20">
        <v>3</v>
      </c>
      <c r="BS20">
        <v>3</v>
      </c>
      <c r="BT20">
        <v>1321</v>
      </c>
      <c r="BU20">
        <v>1302.1892161369324</v>
      </c>
      <c r="BV20">
        <v>1293.0566700000054</v>
      </c>
      <c r="BW20">
        <v>125.00000000009419</v>
      </c>
      <c r="BX20">
        <v>125.00000000013397</v>
      </c>
      <c r="BY20">
        <v>125.00000000026247</v>
      </c>
      <c r="BZ20">
        <v>3</v>
      </c>
      <c r="CA20">
        <v>4</v>
      </c>
      <c r="CB20">
        <v>3</v>
      </c>
      <c r="CC20">
        <v>2745</v>
      </c>
      <c r="CD20">
        <v>3823.8491740226746</v>
      </c>
      <c r="CE20">
        <v>3796.3717529999849</v>
      </c>
      <c r="CF20">
        <v>125.00000000011333</v>
      </c>
      <c r="CG20">
        <v>125.00000000014641</v>
      </c>
      <c r="CH20">
        <v>125.00000000014292</v>
      </c>
      <c r="CI20">
        <v>3</v>
      </c>
      <c r="CJ20">
        <v>5</v>
      </c>
      <c r="CK20">
        <v>2</v>
      </c>
      <c r="CL20">
        <v>409</v>
      </c>
      <c r="CM20">
        <v>669.75850915908813</v>
      </c>
      <c r="CN20">
        <v>665.55681700000423</v>
      </c>
      <c r="CO20">
        <v>125.00016928004491</v>
      </c>
      <c r="CP20">
        <v>125.00000077948849</v>
      </c>
      <c r="CQ20">
        <v>125.0251791238957</v>
      </c>
    </row>
    <row r="21" spans="1:95" s="8" customFormat="1" x14ac:dyDescent="0.35">
      <c r="A21">
        <v>1020</v>
      </c>
      <c r="B21">
        <v>1</v>
      </c>
      <c r="C21">
        <v>1</v>
      </c>
      <c r="D21">
        <v>3</v>
      </c>
      <c r="E21">
        <v>126</v>
      </c>
      <c r="F21">
        <v>25.190283060073853</v>
      </c>
      <c r="G21">
        <v>24.903167999989819</v>
      </c>
      <c r="H21">
        <v>125.00000000002568</v>
      </c>
      <c r="I21">
        <v>1</v>
      </c>
      <c r="J21">
        <v>2</v>
      </c>
      <c r="K21">
        <v>3</v>
      </c>
      <c r="L21">
        <v>740</v>
      </c>
      <c r="M21">
        <v>291.43012499809265</v>
      </c>
      <c r="N21">
        <v>289.83995199999481</v>
      </c>
      <c r="O21">
        <v>130.08475689607192</v>
      </c>
      <c r="P21">
        <v>1</v>
      </c>
      <c r="Q21">
        <v>3</v>
      </c>
      <c r="R21">
        <v>3</v>
      </c>
      <c r="S21">
        <v>1148</v>
      </c>
      <c r="T21">
        <v>705.26032400131226</v>
      </c>
      <c r="U21">
        <v>700.53593199999887</v>
      </c>
      <c r="V21">
        <v>125.01102475707553</v>
      </c>
      <c r="W21">
        <v>1</v>
      </c>
      <c r="X21">
        <v>4</v>
      </c>
      <c r="Y21">
        <v>3</v>
      </c>
      <c r="Z21">
        <v>821</v>
      </c>
      <c r="AA21">
        <v>656.72620606422424</v>
      </c>
      <c r="AB21">
        <v>653.01755000000412</v>
      </c>
      <c r="AC21">
        <v>125.00000000001641</v>
      </c>
      <c r="AD21">
        <v>1</v>
      </c>
      <c r="AE21">
        <v>5</v>
      </c>
      <c r="AF21">
        <v>3</v>
      </c>
      <c r="AG21">
        <v>2213</v>
      </c>
      <c r="AH21">
        <v>2166.8668489456177</v>
      </c>
      <c r="AI21">
        <v>2154.6999329999962</v>
      </c>
      <c r="AJ21">
        <v>125.00000000002261</v>
      </c>
      <c r="AK21">
        <v>2</v>
      </c>
      <c r="AL21">
        <v>2</v>
      </c>
      <c r="AM21">
        <v>3</v>
      </c>
      <c r="AN21">
        <v>291</v>
      </c>
      <c r="AO21">
        <v>148.64266300201416</v>
      </c>
      <c r="AP21">
        <v>148.02272700000321</v>
      </c>
      <c r="AQ21">
        <v>134.99999999996228</v>
      </c>
      <c r="AR21">
        <v>134.99999999993742</v>
      </c>
      <c r="AS21">
        <v>2</v>
      </c>
      <c r="AT21">
        <v>3</v>
      </c>
      <c r="AU21">
        <v>3</v>
      </c>
      <c r="AV21">
        <v>463</v>
      </c>
      <c r="AW21">
        <v>370.39301109313965</v>
      </c>
      <c r="AX21">
        <v>368.47175499999139</v>
      </c>
      <c r="AY21">
        <v>134.99999999995029</v>
      </c>
      <c r="AZ21">
        <v>134.99999999996095</v>
      </c>
      <c r="BA21">
        <v>2</v>
      </c>
      <c r="BB21">
        <v>4</v>
      </c>
      <c r="BC21">
        <v>3</v>
      </c>
      <c r="BD21">
        <v>518</v>
      </c>
      <c r="BE21">
        <v>556.66883301734924</v>
      </c>
      <c r="BF21">
        <v>553.54086700000335</v>
      </c>
      <c r="BG21">
        <v>125.00000000003966</v>
      </c>
      <c r="BH21">
        <v>125.00000000001836</v>
      </c>
      <c r="BI21">
        <v>2</v>
      </c>
      <c r="BJ21">
        <v>5</v>
      </c>
      <c r="BK21">
        <v>2</v>
      </c>
      <c r="BL21">
        <v>555</v>
      </c>
      <c r="BM21">
        <v>739.2593240737915</v>
      </c>
      <c r="BN21">
        <v>735.39910599999712</v>
      </c>
      <c r="BO21">
        <v>125.00861925833587</v>
      </c>
      <c r="BP21">
        <v>125.0818323322444</v>
      </c>
      <c r="BQ21">
        <v>3</v>
      </c>
      <c r="BR21">
        <v>3</v>
      </c>
      <c r="BS21">
        <v>3</v>
      </c>
      <c r="BT21">
        <v>913</v>
      </c>
      <c r="BU21">
        <v>923.53538012504578</v>
      </c>
      <c r="BV21">
        <v>918.15978400000313</v>
      </c>
      <c r="BW21">
        <v>134.99999999990899</v>
      </c>
      <c r="BX21">
        <v>125.00000000008794</v>
      </c>
      <c r="BY21">
        <v>125.00000000005424</v>
      </c>
      <c r="BZ21">
        <v>3</v>
      </c>
      <c r="CA21">
        <v>4</v>
      </c>
      <c r="CB21">
        <v>2</v>
      </c>
      <c r="CC21">
        <v>402</v>
      </c>
      <c r="CD21">
        <v>545.49982118606567</v>
      </c>
      <c r="CE21">
        <v>542.29438400000799</v>
      </c>
      <c r="CF21">
        <v>131.30324363598498</v>
      </c>
      <c r="CG21">
        <v>125.01080253037867</v>
      </c>
      <c r="CH21">
        <v>125.00000909219104</v>
      </c>
      <c r="CI21">
        <v>3</v>
      </c>
      <c r="CJ21">
        <v>5</v>
      </c>
      <c r="CK21">
        <v>2</v>
      </c>
      <c r="CL21">
        <v>497</v>
      </c>
      <c r="CM21">
        <v>826.0701789855957</v>
      </c>
      <c r="CN21">
        <v>821.75825199999963</v>
      </c>
      <c r="CO21">
        <v>129.00725816354921</v>
      </c>
      <c r="CP21">
        <v>127.40999873911267</v>
      </c>
      <c r="CQ21">
        <v>125.0001442722558</v>
      </c>
    </row>
    <row r="22" spans="1:95" s="8" customFormat="1" x14ac:dyDescent="0.35">
      <c r="A22">
        <v>1021</v>
      </c>
      <c r="B22">
        <v>1</v>
      </c>
      <c r="C22">
        <v>1</v>
      </c>
      <c r="D22">
        <v>3</v>
      </c>
      <c r="E22">
        <v>523</v>
      </c>
      <c r="F22">
        <v>110.38194179534912</v>
      </c>
      <c r="G22">
        <v>109.54863200000011</v>
      </c>
      <c r="H22">
        <v>125.00000000011052</v>
      </c>
      <c r="I22">
        <v>1</v>
      </c>
      <c r="J22">
        <v>2</v>
      </c>
      <c r="K22">
        <v>3</v>
      </c>
      <c r="L22">
        <v>656</v>
      </c>
      <c r="M22">
        <v>295.01932287216187</v>
      </c>
      <c r="N22">
        <v>291.62880999999993</v>
      </c>
      <c r="O22">
        <v>125.00000000011063</v>
      </c>
      <c r="P22">
        <v>1</v>
      </c>
      <c r="Q22">
        <v>3</v>
      </c>
      <c r="R22">
        <v>3</v>
      </c>
      <c r="S22">
        <v>165</v>
      </c>
      <c r="T22">
        <v>110.30573391914368</v>
      </c>
      <c r="U22">
        <v>109.52612499999998</v>
      </c>
      <c r="V22">
        <v>125.00000000012056</v>
      </c>
      <c r="W22">
        <v>1</v>
      </c>
      <c r="X22">
        <v>4</v>
      </c>
      <c r="Y22">
        <v>3</v>
      </c>
      <c r="Z22">
        <v>599</v>
      </c>
      <c r="AA22">
        <v>532.63888096809387</v>
      </c>
      <c r="AB22">
        <v>527.8369100000001</v>
      </c>
      <c r="AC22">
        <v>125.00000000014525</v>
      </c>
      <c r="AD22">
        <v>1</v>
      </c>
      <c r="AE22">
        <v>5</v>
      </c>
      <c r="AF22">
        <v>3</v>
      </c>
      <c r="AG22">
        <v>252</v>
      </c>
      <c r="AH22">
        <v>272.45199203491211</v>
      </c>
      <c r="AI22">
        <v>270.77264100000025</v>
      </c>
      <c r="AJ22">
        <v>125.00000000014801</v>
      </c>
      <c r="AK22">
        <v>2</v>
      </c>
      <c r="AL22">
        <v>2</v>
      </c>
      <c r="AM22">
        <v>3</v>
      </c>
      <c r="AN22">
        <v>755</v>
      </c>
      <c r="AO22">
        <v>449.09356594085693</v>
      </c>
      <c r="AP22">
        <v>445.52209300000027</v>
      </c>
      <c r="AQ22">
        <v>125.00000000008735</v>
      </c>
      <c r="AR22">
        <v>125.00000000015085</v>
      </c>
      <c r="AS22">
        <v>2</v>
      </c>
      <c r="AT22">
        <v>3</v>
      </c>
      <c r="AU22">
        <v>3</v>
      </c>
      <c r="AV22">
        <v>258</v>
      </c>
      <c r="AW22">
        <v>225.39123797416687</v>
      </c>
      <c r="AX22">
        <v>223.51449200000025</v>
      </c>
      <c r="AY22">
        <v>125.00000000013411</v>
      </c>
      <c r="AZ22">
        <v>125.00000000010952</v>
      </c>
      <c r="BA22">
        <v>2</v>
      </c>
      <c r="BB22">
        <v>4</v>
      </c>
      <c r="BC22">
        <v>2</v>
      </c>
      <c r="BD22">
        <v>403</v>
      </c>
      <c r="BE22">
        <v>469.84647393226624</v>
      </c>
      <c r="BF22">
        <v>466.46294199999966</v>
      </c>
      <c r="BG22">
        <v>127.27108118854048</v>
      </c>
      <c r="BH22">
        <v>125.0336153836335</v>
      </c>
      <c r="BI22">
        <v>2</v>
      </c>
      <c r="BJ22">
        <v>5</v>
      </c>
      <c r="BK22">
        <v>2</v>
      </c>
      <c r="BL22">
        <v>559</v>
      </c>
      <c r="BM22">
        <v>819.48673605918884</v>
      </c>
      <c r="BN22">
        <v>813.25696000000016</v>
      </c>
      <c r="BO22">
        <v>127.87461538468426</v>
      </c>
      <c r="BP22">
        <v>125.00040864017544</v>
      </c>
      <c r="BQ22">
        <v>3</v>
      </c>
      <c r="BR22">
        <v>3</v>
      </c>
      <c r="BS22">
        <v>3</v>
      </c>
      <c r="BT22">
        <v>481</v>
      </c>
      <c r="BU22">
        <v>504.9176778793335</v>
      </c>
      <c r="BV22">
        <v>501.49398500000007</v>
      </c>
      <c r="BW22">
        <v>125.0000000000895</v>
      </c>
      <c r="BX22">
        <v>125.00000000011505</v>
      </c>
      <c r="BY22">
        <v>125.00000000020047</v>
      </c>
      <c r="BZ22">
        <v>3</v>
      </c>
      <c r="CA22">
        <v>4</v>
      </c>
      <c r="CB22">
        <v>3</v>
      </c>
      <c r="CC22">
        <v>1525</v>
      </c>
      <c r="CD22">
        <v>1897.0217039585114</v>
      </c>
      <c r="CE22">
        <v>1867.4174560000001</v>
      </c>
      <c r="CF22">
        <v>125.00000000014715</v>
      </c>
      <c r="CG22">
        <v>125.00000000016803</v>
      </c>
      <c r="CH22">
        <v>125.00000000013017</v>
      </c>
      <c r="CI22">
        <v>3</v>
      </c>
      <c r="CJ22">
        <v>5</v>
      </c>
      <c r="CK22">
        <v>3</v>
      </c>
      <c r="CL22">
        <v>597</v>
      </c>
      <c r="CM22">
        <v>1015.8808670043945</v>
      </c>
      <c r="CN22">
        <v>1004.5611580000004</v>
      </c>
      <c r="CO22">
        <v>127.07443229288353</v>
      </c>
      <c r="CP22">
        <v>127.56372981780279</v>
      </c>
      <c r="CQ22">
        <v>125.003637873804</v>
      </c>
    </row>
    <row r="23" spans="1:95" s="8" customFormat="1" x14ac:dyDescent="0.35">
      <c r="A23">
        <v>1022</v>
      </c>
      <c r="B23">
        <v>1</v>
      </c>
      <c r="C23">
        <v>1</v>
      </c>
      <c r="D23">
        <v>3</v>
      </c>
      <c r="E23">
        <v>5407</v>
      </c>
      <c r="F23">
        <v>1059.4206869602203</v>
      </c>
      <c r="G23">
        <v>1046.9056449999998</v>
      </c>
      <c r="H23">
        <v>125.00000000012047</v>
      </c>
      <c r="I23">
        <v>1</v>
      </c>
      <c r="J23">
        <v>2</v>
      </c>
      <c r="K23">
        <v>3</v>
      </c>
      <c r="L23">
        <v>268</v>
      </c>
      <c r="M23">
        <v>95.128625869750977</v>
      </c>
      <c r="N23">
        <v>94.748100000000704</v>
      </c>
      <c r="O23">
        <v>125.00000000015542</v>
      </c>
      <c r="P23">
        <v>1</v>
      </c>
      <c r="Q23">
        <v>3</v>
      </c>
      <c r="R23">
        <v>3</v>
      </c>
      <c r="S23">
        <v>315</v>
      </c>
      <c r="T23">
        <v>170.70829510688782</v>
      </c>
      <c r="U23">
        <v>169.94840600000134</v>
      </c>
      <c r="V23">
        <v>125.00000000016067</v>
      </c>
      <c r="W23">
        <v>1</v>
      </c>
      <c r="X23">
        <v>4</v>
      </c>
      <c r="Y23">
        <v>2</v>
      </c>
      <c r="Z23">
        <v>486</v>
      </c>
      <c r="AA23">
        <v>348.28017592430115</v>
      </c>
      <c r="AB23">
        <v>346.66906500000005</v>
      </c>
      <c r="AC23">
        <v>125.00801081882148</v>
      </c>
      <c r="AD23">
        <v>1</v>
      </c>
      <c r="AE23">
        <v>5</v>
      </c>
      <c r="AF23">
        <v>2</v>
      </c>
      <c r="AG23">
        <v>369</v>
      </c>
      <c r="AH23">
        <v>344.82618403434753</v>
      </c>
      <c r="AI23">
        <v>340.13652399999955</v>
      </c>
      <c r="AJ23">
        <v>125.00173054412689</v>
      </c>
      <c r="AK23">
        <v>2</v>
      </c>
      <c r="AL23">
        <v>2</v>
      </c>
      <c r="AM23">
        <v>3</v>
      </c>
      <c r="AN23">
        <v>292</v>
      </c>
      <c r="AO23">
        <v>144.70214104652405</v>
      </c>
      <c r="AP23">
        <v>142.7170100000003</v>
      </c>
      <c r="AQ23">
        <v>125.00000000011131</v>
      </c>
      <c r="AR23">
        <v>125.00000000025742</v>
      </c>
      <c r="AS23">
        <v>2</v>
      </c>
      <c r="AT23">
        <v>3</v>
      </c>
      <c r="AU23">
        <v>2</v>
      </c>
      <c r="AV23">
        <v>361</v>
      </c>
      <c r="AW23">
        <v>267.98306107521057</v>
      </c>
      <c r="AX23">
        <v>265.00932099999773</v>
      </c>
      <c r="AY23">
        <v>126.00951239093774</v>
      </c>
      <c r="AZ23">
        <v>125.00011840493949</v>
      </c>
      <c r="BA23">
        <v>2</v>
      </c>
      <c r="BB23">
        <v>4</v>
      </c>
      <c r="BC23">
        <v>3</v>
      </c>
      <c r="BD23">
        <v>1054</v>
      </c>
      <c r="BE23">
        <v>1052.3842341899872</v>
      </c>
      <c r="BF23">
        <v>1045.541342999999</v>
      </c>
      <c r="BG23">
        <v>125.00000000022759</v>
      </c>
      <c r="BH23">
        <v>125.00000000017408</v>
      </c>
      <c r="BI23">
        <v>2</v>
      </c>
      <c r="BJ23">
        <v>5</v>
      </c>
      <c r="BK23">
        <v>2</v>
      </c>
      <c r="BL23">
        <v>437</v>
      </c>
      <c r="BM23">
        <v>549.8102400302887</v>
      </c>
      <c r="BN23">
        <v>542.06198200000108</v>
      </c>
      <c r="BO23">
        <v>128.40828917262397</v>
      </c>
      <c r="BP23">
        <v>125.0051477524478</v>
      </c>
      <c r="BQ23">
        <v>3</v>
      </c>
      <c r="BR23">
        <v>3</v>
      </c>
      <c r="BS23">
        <v>2</v>
      </c>
      <c r="BT23">
        <v>409</v>
      </c>
      <c r="BU23">
        <v>388.83682107925415</v>
      </c>
      <c r="BV23">
        <v>386.64397399999871</v>
      </c>
      <c r="BW23">
        <v>125.03244249738096</v>
      </c>
      <c r="BX23">
        <v>125.93491433845433</v>
      </c>
      <c r="BY23">
        <v>127.80420289291817</v>
      </c>
      <c r="BZ23">
        <v>3</v>
      </c>
      <c r="CA23">
        <v>4</v>
      </c>
      <c r="CB23">
        <v>2</v>
      </c>
      <c r="CC23">
        <v>356</v>
      </c>
      <c r="CD23">
        <v>454.37473511695862</v>
      </c>
      <c r="CE23">
        <v>451.18853200000194</v>
      </c>
      <c r="CF23">
        <v>125.00075709614498</v>
      </c>
      <c r="CG23">
        <v>125.00023919259149</v>
      </c>
      <c r="CH23">
        <v>125.01530796135884</v>
      </c>
      <c r="CI23">
        <v>3</v>
      </c>
      <c r="CJ23">
        <v>5</v>
      </c>
      <c r="CK23">
        <v>2</v>
      </c>
      <c r="CL23">
        <v>376</v>
      </c>
      <c r="CM23">
        <v>583.70327997207642</v>
      </c>
      <c r="CN23">
        <v>578.25680099999954</v>
      </c>
      <c r="CO23">
        <v>125.58854528453159</v>
      </c>
      <c r="CP23">
        <v>125.00585310042092</v>
      </c>
      <c r="CQ23">
        <v>125.03817193954841</v>
      </c>
    </row>
    <row r="24" spans="1:95" s="8" customFormat="1" x14ac:dyDescent="0.35">
      <c r="A24">
        <v>1023</v>
      </c>
      <c r="B24">
        <v>1</v>
      </c>
      <c r="C24">
        <v>1</v>
      </c>
      <c r="D24">
        <v>2</v>
      </c>
      <c r="E24">
        <v>551</v>
      </c>
      <c r="F24">
        <v>111.71604108810425</v>
      </c>
      <c r="G24">
        <v>110.4206809999996</v>
      </c>
      <c r="H24">
        <v>125.02051950745688</v>
      </c>
      <c r="I24">
        <v>1</v>
      </c>
      <c r="J24">
        <v>2</v>
      </c>
      <c r="K24">
        <v>2</v>
      </c>
      <c r="L24">
        <v>548</v>
      </c>
      <c r="M24">
        <v>220.89586591720581</v>
      </c>
      <c r="N24">
        <v>219.11732000000302</v>
      </c>
      <c r="O24">
        <v>125.02051950745688</v>
      </c>
      <c r="P24">
        <v>1</v>
      </c>
      <c r="Q24">
        <v>3</v>
      </c>
      <c r="R24">
        <v>2</v>
      </c>
      <c r="S24">
        <v>382</v>
      </c>
      <c r="T24">
        <v>237.33815717697144</v>
      </c>
      <c r="U24">
        <v>235.192982999999</v>
      </c>
      <c r="V24">
        <v>125.02051950745688</v>
      </c>
      <c r="W24">
        <v>1</v>
      </c>
      <c r="X24">
        <v>4</v>
      </c>
      <c r="Y24">
        <v>3</v>
      </c>
      <c r="Z24">
        <v>131</v>
      </c>
      <c r="AA24">
        <v>106.74018001556396</v>
      </c>
      <c r="AB24">
        <v>106.04479100000026</v>
      </c>
      <c r="AC24">
        <v>125.00000000005255</v>
      </c>
      <c r="AD24">
        <v>1</v>
      </c>
      <c r="AE24">
        <v>5</v>
      </c>
      <c r="AF24">
        <v>3</v>
      </c>
      <c r="AG24">
        <v>122</v>
      </c>
      <c r="AH24">
        <v>127.96700811386108</v>
      </c>
      <c r="AI24">
        <v>125.71908500000063</v>
      </c>
      <c r="AJ24">
        <v>125.00000000005961</v>
      </c>
      <c r="AK24">
        <v>2</v>
      </c>
      <c r="AL24">
        <v>2</v>
      </c>
      <c r="AM24">
        <v>2</v>
      </c>
      <c r="AN24">
        <v>445</v>
      </c>
      <c r="AO24">
        <v>254.69115400314331</v>
      </c>
      <c r="AP24">
        <v>251.38396899999861</v>
      </c>
      <c r="AQ24">
        <v>125.02051950745688</v>
      </c>
      <c r="AR24">
        <v>125.00038316900002</v>
      </c>
      <c r="AS24">
        <v>2</v>
      </c>
      <c r="AT24">
        <v>3</v>
      </c>
      <c r="AU24">
        <v>2</v>
      </c>
      <c r="AV24">
        <v>349</v>
      </c>
      <c r="AW24">
        <v>285.74274492263794</v>
      </c>
      <c r="AX24">
        <v>284.07698700000219</v>
      </c>
      <c r="AY24">
        <v>125.06388600615045</v>
      </c>
      <c r="AZ24">
        <v>125.00012703231515</v>
      </c>
      <c r="BA24">
        <v>2</v>
      </c>
      <c r="BB24">
        <v>4</v>
      </c>
      <c r="BC24">
        <v>2</v>
      </c>
      <c r="BD24">
        <v>354</v>
      </c>
      <c r="BE24">
        <v>394.12076711654663</v>
      </c>
      <c r="BF24">
        <v>391.26173500000004</v>
      </c>
      <c r="BG24">
        <v>126.52936043844403</v>
      </c>
      <c r="BH24">
        <v>125.00570408548434</v>
      </c>
      <c r="BI24">
        <v>2</v>
      </c>
      <c r="BJ24">
        <v>5</v>
      </c>
      <c r="BK24">
        <v>2</v>
      </c>
      <c r="BL24">
        <v>638</v>
      </c>
      <c r="BM24">
        <v>874.19004511833191</v>
      </c>
      <c r="BN24">
        <v>868.66962399999829</v>
      </c>
      <c r="BO24">
        <v>127.17088657029726</v>
      </c>
      <c r="BP24">
        <v>125.00465325081088</v>
      </c>
      <c r="BQ24">
        <v>3</v>
      </c>
      <c r="BR24">
        <v>3</v>
      </c>
      <c r="BS24">
        <v>2</v>
      </c>
      <c r="BT24">
        <v>684</v>
      </c>
      <c r="BU24">
        <v>722.96315383911133</v>
      </c>
      <c r="BV24">
        <v>718.2930809999998</v>
      </c>
      <c r="BW24">
        <v>125.02051950745688</v>
      </c>
      <c r="BX24">
        <v>125.00011863601371</v>
      </c>
      <c r="BY24">
        <v>125.000107435857</v>
      </c>
      <c r="BZ24">
        <v>3</v>
      </c>
      <c r="CA24">
        <v>4</v>
      </c>
      <c r="CB24">
        <v>2</v>
      </c>
      <c r="CC24">
        <v>398</v>
      </c>
      <c r="CD24">
        <v>567.2984139919281</v>
      </c>
      <c r="CE24">
        <v>563.60096300000077</v>
      </c>
      <c r="CF24">
        <v>125.00225889239132</v>
      </c>
      <c r="CG24">
        <v>125.00884652262828</v>
      </c>
      <c r="CH24">
        <v>125.01562362635337</v>
      </c>
      <c r="CI24">
        <v>3</v>
      </c>
      <c r="CJ24">
        <v>5</v>
      </c>
      <c r="CK24">
        <v>2</v>
      </c>
      <c r="CL24">
        <v>382</v>
      </c>
      <c r="CM24">
        <v>687.56712293624878</v>
      </c>
      <c r="CN24">
        <v>680.70410099999935</v>
      </c>
      <c r="CO24">
        <v>125.03263872961438</v>
      </c>
      <c r="CP24">
        <v>126.00356583084259</v>
      </c>
      <c r="CQ24">
        <v>125.03663444894778</v>
      </c>
    </row>
    <row r="25" spans="1:95" s="8" customFormat="1" x14ac:dyDescent="0.35">
      <c r="A25">
        <v>1024</v>
      </c>
      <c r="B25">
        <v>1</v>
      </c>
      <c r="C25">
        <v>1</v>
      </c>
      <c r="D25">
        <v>3</v>
      </c>
      <c r="E25">
        <v>98</v>
      </c>
      <c r="F25">
        <v>19.041455030441284</v>
      </c>
      <c r="G25">
        <v>18.996392000000924</v>
      </c>
      <c r="H25">
        <v>125.00000000005834</v>
      </c>
      <c r="I25">
        <v>1</v>
      </c>
      <c r="J25">
        <v>2</v>
      </c>
      <c r="K25">
        <v>3</v>
      </c>
      <c r="L25">
        <v>261</v>
      </c>
      <c r="M25">
        <v>111.61975598335266</v>
      </c>
      <c r="N25">
        <v>111.11333200000081</v>
      </c>
      <c r="O25">
        <v>125.00000000005465</v>
      </c>
      <c r="P25">
        <v>1</v>
      </c>
      <c r="Q25">
        <v>3</v>
      </c>
      <c r="R25">
        <v>3</v>
      </c>
      <c r="S25">
        <v>147</v>
      </c>
      <c r="T25">
        <v>97.291622877120972</v>
      </c>
      <c r="U25">
        <v>95.488603000001604</v>
      </c>
      <c r="V25">
        <v>125.00000000005687</v>
      </c>
      <c r="W25">
        <v>1</v>
      </c>
      <c r="X25">
        <v>4</v>
      </c>
      <c r="Y25">
        <v>3</v>
      </c>
      <c r="Z25">
        <v>2213</v>
      </c>
      <c r="AA25">
        <v>1765.987174987793</v>
      </c>
      <c r="AB25">
        <v>1752.9574599999978</v>
      </c>
      <c r="AC25">
        <v>125.0000000000564</v>
      </c>
      <c r="AD25">
        <v>1</v>
      </c>
      <c r="AE25">
        <v>5</v>
      </c>
      <c r="AF25">
        <v>3</v>
      </c>
      <c r="AG25">
        <v>236</v>
      </c>
      <c r="AH25">
        <v>237.1899049282074</v>
      </c>
      <c r="AI25">
        <v>235.32617899999968</v>
      </c>
      <c r="AJ25">
        <v>125.00000000005556</v>
      </c>
      <c r="AK25">
        <v>2</v>
      </c>
      <c r="AL25">
        <v>2</v>
      </c>
      <c r="AM25">
        <v>3</v>
      </c>
      <c r="AN25">
        <v>3062</v>
      </c>
      <c r="AO25">
        <v>1684.1767008304596</v>
      </c>
      <c r="AP25">
        <v>1672.7665220000017</v>
      </c>
      <c r="AQ25">
        <v>125.00000000004061</v>
      </c>
      <c r="AR25">
        <v>125.0000000000605</v>
      </c>
      <c r="AS25">
        <v>2</v>
      </c>
      <c r="AT25">
        <v>3</v>
      </c>
      <c r="AU25">
        <v>3</v>
      </c>
      <c r="AV25">
        <v>345</v>
      </c>
      <c r="AW25">
        <v>304.92166304588318</v>
      </c>
      <c r="AX25">
        <v>301.06056699999681</v>
      </c>
      <c r="AY25">
        <v>125.00000000007796</v>
      </c>
      <c r="AZ25">
        <v>125.00000000004459</v>
      </c>
      <c r="BA25">
        <v>2</v>
      </c>
      <c r="BB25">
        <v>4</v>
      </c>
      <c r="BC25">
        <v>2</v>
      </c>
      <c r="BD25">
        <v>402</v>
      </c>
      <c r="BE25">
        <v>476.68736910820007</v>
      </c>
      <c r="BF25">
        <v>472.24562400000286</v>
      </c>
      <c r="BG25">
        <v>128.54017106506001</v>
      </c>
      <c r="BH25">
        <v>125.00645267061438</v>
      </c>
      <c r="BI25">
        <v>2</v>
      </c>
      <c r="BJ25">
        <v>5</v>
      </c>
      <c r="BK25">
        <v>2</v>
      </c>
      <c r="BL25">
        <v>376</v>
      </c>
      <c r="BM25">
        <v>536.33184289932251</v>
      </c>
      <c r="BN25">
        <v>533.17666699999609</v>
      </c>
      <c r="BO25">
        <v>129.32843190057636</v>
      </c>
      <c r="BP25">
        <v>125.00006716996837</v>
      </c>
      <c r="BQ25">
        <v>3</v>
      </c>
      <c r="BR25">
        <v>3</v>
      </c>
      <c r="BS25">
        <v>3</v>
      </c>
      <c r="BT25">
        <v>1183</v>
      </c>
      <c r="BU25">
        <v>1278.4016070365906</v>
      </c>
      <c r="BV25">
        <v>1270.2219949999999</v>
      </c>
      <c r="BW25">
        <v>125.00000000005197</v>
      </c>
      <c r="BX25">
        <v>125.00000000004346</v>
      </c>
      <c r="BY25">
        <v>125.0000000000941</v>
      </c>
      <c r="BZ25">
        <v>3</v>
      </c>
      <c r="CA25">
        <v>4</v>
      </c>
      <c r="CB25">
        <v>2</v>
      </c>
      <c r="CC25">
        <v>420</v>
      </c>
      <c r="CD25">
        <v>606.80143880844116</v>
      </c>
      <c r="CE25">
        <v>602.13034200000038</v>
      </c>
      <c r="CF25">
        <v>126.0334742426995</v>
      </c>
      <c r="CG25">
        <v>125.00006348693135</v>
      </c>
      <c r="CH25">
        <v>125.00005095218998</v>
      </c>
      <c r="CI25">
        <v>3</v>
      </c>
      <c r="CJ25">
        <v>5</v>
      </c>
      <c r="CK25">
        <v>2</v>
      </c>
      <c r="CL25">
        <v>399</v>
      </c>
      <c r="CM25">
        <v>722.89528703689575</v>
      </c>
      <c r="CN25">
        <v>716.93328099999781</v>
      </c>
      <c r="CO25">
        <v>129.11377616997751</v>
      </c>
      <c r="CP25">
        <v>128.35151624774431</v>
      </c>
      <c r="CQ25">
        <v>125.00118866570151</v>
      </c>
    </row>
    <row r="26" spans="1:95" s="8" customFormat="1" x14ac:dyDescent="0.35">
      <c r="A26">
        <v>1025</v>
      </c>
      <c r="B26">
        <v>1</v>
      </c>
      <c r="C26">
        <v>1</v>
      </c>
      <c r="D26">
        <v>3</v>
      </c>
      <c r="E26">
        <v>101</v>
      </c>
      <c r="F26">
        <v>22.86717414855957</v>
      </c>
      <c r="G26">
        <v>22.731849000003422</v>
      </c>
      <c r="H26">
        <v>125.0000000000781</v>
      </c>
      <c r="I26">
        <v>1</v>
      </c>
      <c r="J26">
        <v>2</v>
      </c>
      <c r="K26">
        <v>3</v>
      </c>
      <c r="L26">
        <v>272</v>
      </c>
      <c r="M26">
        <v>124.06737399101257</v>
      </c>
      <c r="N26">
        <v>123.45224099999905</v>
      </c>
      <c r="O26">
        <v>125.00000000007361</v>
      </c>
      <c r="P26">
        <v>1</v>
      </c>
      <c r="Q26">
        <v>3</v>
      </c>
      <c r="R26">
        <v>3</v>
      </c>
      <c r="S26">
        <v>91</v>
      </c>
      <c r="T26">
        <v>57.992948055267334</v>
      </c>
      <c r="U26">
        <v>57.81601800000135</v>
      </c>
      <c r="V26">
        <v>125.00000000008333</v>
      </c>
      <c r="W26">
        <v>1</v>
      </c>
      <c r="X26">
        <v>4</v>
      </c>
      <c r="Y26">
        <v>3</v>
      </c>
      <c r="Z26">
        <v>99</v>
      </c>
      <c r="AA26">
        <v>84.548286199569702</v>
      </c>
      <c r="AB26">
        <v>84.373357000000397</v>
      </c>
      <c r="AC26">
        <v>125.00000000007851</v>
      </c>
      <c r="AD26">
        <v>1</v>
      </c>
      <c r="AE26">
        <v>5</v>
      </c>
      <c r="AF26">
        <v>3</v>
      </c>
      <c r="AG26">
        <v>367</v>
      </c>
      <c r="AH26">
        <v>398.11757302284241</v>
      </c>
      <c r="AI26">
        <v>395.86449300000095</v>
      </c>
      <c r="AJ26">
        <v>125.00000000007239</v>
      </c>
      <c r="AK26">
        <v>2</v>
      </c>
      <c r="AL26">
        <v>2</v>
      </c>
      <c r="AM26">
        <v>3</v>
      </c>
      <c r="AN26">
        <v>295</v>
      </c>
      <c r="AO26">
        <v>182.50364279747009</v>
      </c>
      <c r="AP26">
        <v>180.33331899999757</v>
      </c>
      <c r="AQ26">
        <v>125.00000000007378</v>
      </c>
      <c r="AR26">
        <v>125.00000000007591</v>
      </c>
      <c r="AS26">
        <v>2</v>
      </c>
      <c r="AT26">
        <v>3</v>
      </c>
      <c r="AU26">
        <v>3</v>
      </c>
      <c r="AV26">
        <v>168</v>
      </c>
      <c r="AW26">
        <v>154.72904896736145</v>
      </c>
      <c r="AX26">
        <v>153.85813499999858</v>
      </c>
      <c r="AY26">
        <v>125.00000000012021</v>
      </c>
      <c r="AZ26">
        <v>125.00000000006476</v>
      </c>
      <c r="BA26">
        <v>2</v>
      </c>
      <c r="BB26">
        <v>4</v>
      </c>
      <c r="BC26">
        <v>2</v>
      </c>
      <c r="BD26">
        <v>393</v>
      </c>
      <c r="BE26">
        <v>461.45337796211243</v>
      </c>
      <c r="BF26">
        <v>456.93663100000049</v>
      </c>
      <c r="BG26">
        <v>128.38900751468657</v>
      </c>
      <c r="BH26">
        <v>125.0023157963429</v>
      </c>
      <c r="BI26">
        <v>2</v>
      </c>
      <c r="BJ26">
        <v>5</v>
      </c>
      <c r="BK26">
        <v>2</v>
      </c>
      <c r="BL26">
        <v>489</v>
      </c>
      <c r="BM26">
        <v>714.1965868473053</v>
      </c>
      <c r="BN26">
        <v>708.87575899999865</v>
      </c>
      <c r="BO26">
        <v>128.82087632186636</v>
      </c>
      <c r="BP26">
        <v>125.00045663188332</v>
      </c>
      <c r="BQ26">
        <v>3</v>
      </c>
      <c r="BR26">
        <v>3</v>
      </c>
      <c r="BS26">
        <v>3</v>
      </c>
      <c r="BT26">
        <v>802</v>
      </c>
      <c r="BU26">
        <v>914.48981881141663</v>
      </c>
      <c r="BV26">
        <v>908.58921099999861</v>
      </c>
      <c r="BW26">
        <v>125.00000000008015</v>
      </c>
      <c r="BX26">
        <v>125.00000000006072</v>
      </c>
      <c r="BY26">
        <v>125.00000000014938</v>
      </c>
      <c r="BZ26">
        <v>3</v>
      </c>
      <c r="CA26">
        <v>4</v>
      </c>
      <c r="CB26">
        <v>3</v>
      </c>
      <c r="CC26">
        <v>333</v>
      </c>
      <c r="CD26">
        <v>495.93065595626831</v>
      </c>
      <c r="CE26">
        <v>493.01263000000108</v>
      </c>
      <c r="CF26">
        <v>125.00000000011426</v>
      </c>
      <c r="CG26">
        <v>125.00000000007159</v>
      </c>
      <c r="CH26">
        <v>125.00000000006474</v>
      </c>
      <c r="CI26">
        <v>3</v>
      </c>
      <c r="CJ26">
        <v>5</v>
      </c>
      <c r="CK26">
        <v>2</v>
      </c>
      <c r="CL26">
        <v>372</v>
      </c>
      <c r="CM26">
        <v>689.6780059337616</v>
      </c>
      <c r="CN26">
        <v>684.2489029999997</v>
      </c>
      <c r="CO26">
        <v>128.83647301038363</v>
      </c>
      <c r="CP26">
        <v>128.18089017354652</v>
      </c>
      <c r="CQ26">
        <v>125.01717068499862</v>
      </c>
    </row>
    <row r="27" spans="1:95" s="8" customFormat="1" x14ac:dyDescent="0.35">
      <c r="A27">
        <v>1026</v>
      </c>
      <c r="B27">
        <v>1</v>
      </c>
      <c r="C27">
        <v>1</v>
      </c>
      <c r="D27">
        <v>2</v>
      </c>
      <c r="E27">
        <v>416</v>
      </c>
      <c r="F27">
        <v>99.099146842956543</v>
      </c>
      <c r="G27">
        <v>98.507980000002135</v>
      </c>
      <c r="H27">
        <v>125.042538982517</v>
      </c>
      <c r="I27">
        <v>1</v>
      </c>
      <c r="J27">
        <v>2</v>
      </c>
      <c r="K27">
        <v>2</v>
      </c>
      <c r="L27">
        <v>386</v>
      </c>
      <c r="M27">
        <v>171.27433896064758</v>
      </c>
      <c r="N27">
        <v>170.27717200000188</v>
      </c>
      <c r="O27">
        <v>125.042538982517</v>
      </c>
      <c r="P27">
        <v>1</v>
      </c>
      <c r="Q27">
        <v>3</v>
      </c>
      <c r="R27">
        <v>2</v>
      </c>
      <c r="S27">
        <v>350</v>
      </c>
      <c r="T27">
        <v>241.82176685333252</v>
      </c>
      <c r="U27">
        <v>240.44507799999701</v>
      </c>
      <c r="V27">
        <v>125.00038494952881</v>
      </c>
      <c r="W27">
        <v>1</v>
      </c>
      <c r="X27">
        <v>4</v>
      </c>
      <c r="Y27">
        <v>2</v>
      </c>
      <c r="Z27">
        <v>378</v>
      </c>
      <c r="AA27">
        <v>338.63599610328674</v>
      </c>
      <c r="AB27">
        <v>336.85196800000267</v>
      </c>
      <c r="AC27">
        <v>125.00765742353843</v>
      </c>
      <c r="AD27">
        <v>1</v>
      </c>
      <c r="AE27">
        <v>5</v>
      </c>
      <c r="AF27">
        <v>2</v>
      </c>
      <c r="AG27">
        <v>887</v>
      </c>
      <c r="AH27">
        <v>905.83203411102295</v>
      </c>
      <c r="AI27">
        <v>899.3242199999986</v>
      </c>
      <c r="AJ27">
        <v>125.042538982517</v>
      </c>
      <c r="AK27">
        <v>2</v>
      </c>
      <c r="AL27">
        <v>2</v>
      </c>
      <c r="AM27">
        <v>2</v>
      </c>
      <c r="AN27">
        <v>465</v>
      </c>
      <c r="AO27">
        <v>252.47584104537964</v>
      </c>
      <c r="AP27">
        <v>251.13968100000056</v>
      </c>
      <c r="AQ27">
        <v>125.00027474867679</v>
      </c>
      <c r="AR27">
        <v>125.00119285061486</v>
      </c>
      <c r="AS27">
        <v>2</v>
      </c>
      <c r="AT27">
        <v>3</v>
      </c>
      <c r="AU27">
        <v>2</v>
      </c>
      <c r="AV27">
        <v>422</v>
      </c>
      <c r="AW27">
        <v>338.3048620223999</v>
      </c>
      <c r="AX27">
        <v>336.45081600000049</v>
      </c>
      <c r="AY27">
        <v>126.59577956784409</v>
      </c>
      <c r="AZ27">
        <v>125.14810603839861</v>
      </c>
      <c r="BA27">
        <v>2</v>
      </c>
      <c r="BB27">
        <v>4</v>
      </c>
      <c r="BC27">
        <v>2</v>
      </c>
      <c r="BD27">
        <v>436</v>
      </c>
      <c r="BE27">
        <v>471.88079285621643</v>
      </c>
      <c r="BF27">
        <v>469.31142499999987</v>
      </c>
      <c r="BG27">
        <v>127.95162755681108</v>
      </c>
      <c r="BH27">
        <v>125.01452655853893</v>
      </c>
      <c r="BI27">
        <v>2</v>
      </c>
      <c r="BJ27">
        <v>5</v>
      </c>
      <c r="BK27">
        <v>2</v>
      </c>
      <c r="BL27">
        <v>411</v>
      </c>
      <c r="BM27">
        <v>560.04384398460388</v>
      </c>
      <c r="BN27">
        <v>556.988357000002</v>
      </c>
      <c r="BO27">
        <v>128.63529484655768</v>
      </c>
      <c r="BP27">
        <v>125.02361684040403</v>
      </c>
      <c r="BQ27">
        <v>3</v>
      </c>
      <c r="BR27">
        <v>3</v>
      </c>
      <c r="BS27">
        <v>2</v>
      </c>
      <c r="BT27">
        <v>663</v>
      </c>
      <c r="BU27">
        <v>663.02545499801636</v>
      </c>
      <c r="BV27">
        <v>658.64150799999334</v>
      </c>
      <c r="BW27">
        <v>125.042538982517</v>
      </c>
      <c r="BX27">
        <v>125.00069575965661</v>
      </c>
      <c r="BY27">
        <v>125.00025785173172</v>
      </c>
      <c r="BZ27">
        <v>3</v>
      </c>
      <c r="CA27">
        <v>4</v>
      </c>
      <c r="CB27">
        <v>2</v>
      </c>
      <c r="CC27">
        <v>369</v>
      </c>
      <c r="CD27">
        <v>503.08547210693359</v>
      </c>
      <c r="CE27">
        <v>500.39944899999682</v>
      </c>
      <c r="CF27">
        <v>126.37154647394661</v>
      </c>
      <c r="CG27">
        <v>126.18254571719872</v>
      </c>
      <c r="CH27">
        <v>125.00253940876769</v>
      </c>
      <c r="CI27">
        <v>3</v>
      </c>
      <c r="CJ27">
        <v>5</v>
      </c>
      <c r="CK27">
        <v>2</v>
      </c>
      <c r="CL27">
        <v>409</v>
      </c>
      <c r="CM27">
        <v>685.21645307540894</v>
      </c>
      <c r="CN27">
        <v>681.17051900000661</v>
      </c>
      <c r="CO27">
        <v>126.06961624092983</v>
      </c>
      <c r="CP27">
        <v>125.04677461300838</v>
      </c>
      <c r="CQ27">
        <v>125.03210666462198</v>
      </c>
    </row>
    <row r="28" spans="1:95" s="8" customFormat="1" x14ac:dyDescent="0.35">
      <c r="A28">
        <v>1027</v>
      </c>
      <c r="B28">
        <v>1</v>
      </c>
      <c r="C28">
        <v>1</v>
      </c>
      <c r="D28">
        <v>2</v>
      </c>
      <c r="E28">
        <v>362</v>
      </c>
      <c r="F28">
        <v>73.051869869232178</v>
      </c>
      <c r="G28">
        <v>72.687248000002</v>
      </c>
      <c r="H28">
        <v>125.00319787972253</v>
      </c>
      <c r="I28">
        <v>1</v>
      </c>
      <c r="J28">
        <v>2</v>
      </c>
      <c r="K28">
        <v>2</v>
      </c>
      <c r="L28">
        <v>349</v>
      </c>
      <c r="M28">
        <v>138.98893904685974</v>
      </c>
      <c r="N28">
        <v>138.41870000000199</v>
      </c>
      <c r="O28">
        <v>125.00319787972253</v>
      </c>
      <c r="P28">
        <v>1</v>
      </c>
      <c r="Q28">
        <v>3</v>
      </c>
      <c r="R28">
        <v>3</v>
      </c>
      <c r="S28">
        <v>97</v>
      </c>
      <c r="T28">
        <v>58.17776894569397</v>
      </c>
      <c r="U28">
        <v>57.990035000002536</v>
      </c>
      <c r="V28">
        <v>125.00000000009318</v>
      </c>
      <c r="W28">
        <v>1</v>
      </c>
      <c r="X28">
        <v>4</v>
      </c>
      <c r="Y28">
        <v>2</v>
      </c>
      <c r="Z28">
        <v>524</v>
      </c>
      <c r="AA28">
        <v>415.65728211402893</v>
      </c>
      <c r="AB28">
        <v>413.45039899999392</v>
      </c>
      <c r="AC28">
        <v>125.00115447287575</v>
      </c>
      <c r="AD28">
        <v>1</v>
      </c>
      <c r="AE28">
        <v>5</v>
      </c>
      <c r="AF28">
        <v>2</v>
      </c>
      <c r="AG28">
        <v>363</v>
      </c>
      <c r="AH28">
        <v>363.94888997077942</v>
      </c>
      <c r="AI28">
        <v>361.98729299999104</v>
      </c>
      <c r="AJ28">
        <v>125.00115447287575</v>
      </c>
      <c r="AK28">
        <v>2</v>
      </c>
      <c r="AL28">
        <v>2</v>
      </c>
      <c r="AM28">
        <v>2</v>
      </c>
      <c r="AN28">
        <v>348</v>
      </c>
      <c r="AO28">
        <v>187.39974093437195</v>
      </c>
      <c r="AP28">
        <v>186.42921700000443</v>
      </c>
      <c r="AQ28">
        <v>125.00319787972253</v>
      </c>
      <c r="AR28">
        <v>127.12177998406851</v>
      </c>
      <c r="AS28">
        <v>2</v>
      </c>
      <c r="AT28">
        <v>3</v>
      </c>
      <c r="AU28">
        <v>2</v>
      </c>
      <c r="AV28">
        <v>469</v>
      </c>
      <c r="AW28">
        <v>381.47201704978943</v>
      </c>
      <c r="AX28">
        <v>379.48644599999534</v>
      </c>
      <c r="AY28">
        <v>125.00020923364232</v>
      </c>
      <c r="AZ28">
        <v>125.05240092538975</v>
      </c>
      <c r="BA28">
        <v>2</v>
      </c>
      <c r="BB28">
        <v>4</v>
      </c>
      <c r="BC28">
        <v>3</v>
      </c>
      <c r="BD28">
        <v>245</v>
      </c>
      <c r="BE28">
        <v>261.20102381706238</v>
      </c>
      <c r="BF28">
        <v>260.02043299999787</v>
      </c>
      <c r="BG28">
        <v>125.00000000012011</v>
      </c>
      <c r="BH28">
        <v>125.00000000008266</v>
      </c>
      <c r="BI28">
        <v>2</v>
      </c>
      <c r="BJ28">
        <v>5</v>
      </c>
      <c r="BK28">
        <v>3</v>
      </c>
      <c r="BL28">
        <v>676</v>
      </c>
      <c r="BM28">
        <v>940.60201215744019</v>
      </c>
      <c r="BN28">
        <v>934.93340700000408</v>
      </c>
      <c r="BO28">
        <v>125.00000000016655</v>
      </c>
      <c r="BP28">
        <v>125.00000000008099</v>
      </c>
      <c r="BQ28">
        <v>3</v>
      </c>
      <c r="BR28">
        <v>3</v>
      </c>
      <c r="BS28">
        <v>2</v>
      </c>
      <c r="BT28">
        <v>371</v>
      </c>
      <c r="BU28">
        <v>393.46006798744202</v>
      </c>
      <c r="BV28">
        <v>391.05603700000211</v>
      </c>
      <c r="BW28">
        <v>125.00319787972253</v>
      </c>
      <c r="BX28">
        <v>125.83939180241212</v>
      </c>
      <c r="BY28">
        <v>127.63176993447166</v>
      </c>
      <c r="BZ28">
        <v>3</v>
      </c>
      <c r="CA28">
        <v>4</v>
      </c>
      <c r="CB28">
        <v>2</v>
      </c>
      <c r="CC28">
        <v>428</v>
      </c>
      <c r="CD28">
        <v>603.91643595695496</v>
      </c>
      <c r="CE28">
        <v>600.1182770000014</v>
      </c>
      <c r="CF28">
        <v>127.18000049393072</v>
      </c>
      <c r="CG28">
        <v>125.91568663132708</v>
      </c>
      <c r="CH28">
        <v>125.00599883933451</v>
      </c>
      <c r="CI28">
        <v>3</v>
      </c>
      <c r="CJ28">
        <v>5</v>
      </c>
      <c r="CK28">
        <v>2</v>
      </c>
      <c r="CL28">
        <v>377</v>
      </c>
      <c r="CM28">
        <v>657.42770791053772</v>
      </c>
      <c r="CN28">
        <v>653.44598899999983</v>
      </c>
      <c r="CO28">
        <v>130.31820672076626</v>
      </c>
      <c r="CP28">
        <v>127.09337247737017</v>
      </c>
      <c r="CQ28">
        <v>125.03759325222735</v>
      </c>
    </row>
    <row r="29" spans="1:95" s="8" customFormat="1" x14ac:dyDescent="0.35">
      <c r="A29">
        <v>1028</v>
      </c>
      <c r="B29">
        <v>1</v>
      </c>
      <c r="C29">
        <v>1</v>
      </c>
      <c r="D29">
        <v>3</v>
      </c>
      <c r="E29">
        <v>141</v>
      </c>
      <c r="F29">
        <v>29.560821056365967</v>
      </c>
      <c r="G29">
        <v>29.61223500000051</v>
      </c>
      <c r="H29">
        <v>134.99999999987622</v>
      </c>
      <c r="I29">
        <v>1</v>
      </c>
      <c r="J29">
        <v>2</v>
      </c>
      <c r="K29">
        <v>3</v>
      </c>
      <c r="L29">
        <v>89</v>
      </c>
      <c r="M29">
        <v>39.959751129150391</v>
      </c>
      <c r="N29">
        <v>39.657146999998076</v>
      </c>
      <c r="O29">
        <v>134.999999999838</v>
      </c>
      <c r="P29">
        <v>1</v>
      </c>
      <c r="Q29">
        <v>3</v>
      </c>
      <c r="R29">
        <v>3</v>
      </c>
      <c r="S29">
        <v>288</v>
      </c>
      <c r="T29">
        <v>180.43474698066711</v>
      </c>
      <c r="U29">
        <v>179.5517319999999</v>
      </c>
      <c r="V29">
        <v>134.99999999979588</v>
      </c>
      <c r="W29">
        <v>1</v>
      </c>
      <c r="X29">
        <v>4</v>
      </c>
      <c r="Y29">
        <v>3</v>
      </c>
      <c r="Z29">
        <v>249</v>
      </c>
      <c r="AA29">
        <v>216.65794801712036</v>
      </c>
      <c r="AB29">
        <v>215.48930000000837</v>
      </c>
      <c r="AC29">
        <v>134.99999999976592</v>
      </c>
      <c r="AD29">
        <v>1</v>
      </c>
      <c r="AE29">
        <v>5</v>
      </c>
      <c r="AF29">
        <v>3</v>
      </c>
      <c r="AG29">
        <v>707</v>
      </c>
      <c r="AH29">
        <v>771.8772120475769</v>
      </c>
      <c r="AI29">
        <v>767.09830399999919</v>
      </c>
      <c r="AJ29">
        <v>125.00000000026292</v>
      </c>
      <c r="AK29">
        <v>2</v>
      </c>
      <c r="AL29">
        <v>2</v>
      </c>
      <c r="AM29">
        <v>3</v>
      </c>
      <c r="AN29">
        <v>1508</v>
      </c>
      <c r="AO29">
        <v>870.26482486724854</v>
      </c>
      <c r="AP29">
        <v>864.23289300000033</v>
      </c>
      <c r="AQ29">
        <v>134.99999999986986</v>
      </c>
      <c r="AR29">
        <v>134.99999999978604</v>
      </c>
      <c r="AS29">
        <v>2</v>
      </c>
      <c r="AT29">
        <v>3</v>
      </c>
      <c r="AU29">
        <v>3</v>
      </c>
      <c r="AV29">
        <v>2837</v>
      </c>
      <c r="AW29">
        <v>2430.0955839157104</v>
      </c>
      <c r="AX29">
        <v>2414.5200990000012</v>
      </c>
      <c r="AY29">
        <v>134.99999999976527</v>
      </c>
      <c r="AZ29">
        <v>134.99999999981938</v>
      </c>
      <c r="BA29">
        <v>2</v>
      </c>
      <c r="BB29">
        <v>4</v>
      </c>
      <c r="BC29">
        <v>3</v>
      </c>
      <c r="BD29">
        <v>259</v>
      </c>
      <c r="BE29">
        <v>302.49442100524902</v>
      </c>
      <c r="BF29">
        <v>300.71676999999909</v>
      </c>
      <c r="BG29">
        <v>134.99999999975611</v>
      </c>
      <c r="BH29">
        <v>134.99999999988111</v>
      </c>
      <c r="BI29">
        <v>2</v>
      </c>
      <c r="BJ29">
        <v>5</v>
      </c>
      <c r="BK29">
        <v>3</v>
      </c>
      <c r="BL29">
        <v>233</v>
      </c>
      <c r="BM29">
        <v>333.5322470664978</v>
      </c>
      <c r="BN29">
        <v>331.79233099999692</v>
      </c>
      <c r="BO29">
        <v>134.99999999965806</v>
      </c>
      <c r="BP29">
        <v>134.99999999988</v>
      </c>
      <c r="BQ29">
        <v>3</v>
      </c>
      <c r="BR29">
        <v>3</v>
      </c>
      <c r="BS29">
        <v>3</v>
      </c>
      <c r="BT29">
        <v>365</v>
      </c>
      <c r="BU29">
        <v>387.33524298667908</v>
      </c>
      <c r="BV29">
        <v>385.08396700000594</v>
      </c>
      <c r="BW29">
        <v>134.99999999984354</v>
      </c>
      <c r="BX29">
        <v>134.99999999980872</v>
      </c>
      <c r="BY29">
        <v>134.99999999967477</v>
      </c>
      <c r="BZ29">
        <v>3</v>
      </c>
      <c r="CA29">
        <v>4</v>
      </c>
      <c r="CB29">
        <v>3</v>
      </c>
      <c r="CC29">
        <v>1107</v>
      </c>
      <c r="CD29">
        <v>1595.6132249832153</v>
      </c>
      <c r="CE29">
        <v>1585.4909569999945</v>
      </c>
      <c r="CF29">
        <v>134.999999999837</v>
      </c>
      <c r="CG29">
        <v>134.99999999982265</v>
      </c>
      <c r="CH29">
        <v>134.99999999985599</v>
      </c>
      <c r="CI29">
        <v>3</v>
      </c>
      <c r="CJ29">
        <v>5</v>
      </c>
      <c r="CK29">
        <v>3</v>
      </c>
      <c r="CL29">
        <v>764</v>
      </c>
      <c r="CM29">
        <v>1346.9016330242157</v>
      </c>
      <c r="CN29">
        <v>1338.5962020000006</v>
      </c>
      <c r="CO29">
        <v>134.99999999976964</v>
      </c>
      <c r="CP29">
        <v>134.99999999976401</v>
      </c>
      <c r="CQ29">
        <v>134.99999999987705</v>
      </c>
    </row>
    <row r="30" spans="1:95" s="8" customFormat="1" x14ac:dyDescent="0.35">
      <c r="A30">
        <v>1029</v>
      </c>
      <c r="B30">
        <v>1</v>
      </c>
      <c r="C30">
        <v>1</v>
      </c>
      <c r="D30">
        <v>3</v>
      </c>
      <c r="E30">
        <v>168</v>
      </c>
      <c r="F30">
        <v>35.774800062179565</v>
      </c>
      <c r="G30">
        <v>35.637933999998495</v>
      </c>
      <c r="H30">
        <v>125.00000000008633</v>
      </c>
      <c r="I30">
        <v>1</v>
      </c>
      <c r="J30">
        <v>2</v>
      </c>
      <c r="K30">
        <v>3</v>
      </c>
      <c r="L30">
        <v>110</v>
      </c>
      <c r="M30">
        <v>45.761167049407959</v>
      </c>
      <c r="N30">
        <v>45.517735000001267</v>
      </c>
      <c r="O30">
        <v>125.0000000000873</v>
      </c>
      <c r="P30">
        <v>1</v>
      </c>
      <c r="Q30">
        <v>3</v>
      </c>
      <c r="R30">
        <v>3</v>
      </c>
      <c r="S30">
        <v>81</v>
      </c>
      <c r="T30">
        <v>51.167213916778564</v>
      </c>
      <c r="U30">
        <v>51.086322000002838</v>
      </c>
      <c r="V30">
        <v>125.00000000008261</v>
      </c>
      <c r="W30">
        <v>1</v>
      </c>
      <c r="X30">
        <v>4</v>
      </c>
      <c r="Y30">
        <v>3</v>
      </c>
      <c r="Z30">
        <v>112</v>
      </c>
      <c r="AA30">
        <v>94.897762060165405</v>
      </c>
      <c r="AB30">
        <v>94.606199999994715</v>
      </c>
      <c r="AC30">
        <v>125.00000000008552</v>
      </c>
      <c r="AD30">
        <v>1</v>
      </c>
      <c r="AE30">
        <v>5</v>
      </c>
      <c r="AF30">
        <v>2</v>
      </c>
      <c r="AG30">
        <v>379</v>
      </c>
      <c r="AH30">
        <v>398.42156100273132</v>
      </c>
      <c r="AI30">
        <v>396.07261100000323</v>
      </c>
      <c r="AJ30">
        <v>125.01036557585901</v>
      </c>
      <c r="AK30">
        <v>2</v>
      </c>
      <c r="AL30">
        <v>2</v>
      </c>
      <c r="AM30">
        <v>3</v>
      </c>
      <c r="AN30">
        <v>454</v>
      </c>
      <c r="AO30">
        <v>260.64238309860229</v>
      </c>
      <c r="AP30">
        <v>259.0817309999984</v>
      </c>
      <c r="AQ30">
        <v>125.00000000007654</v>
      </c>
      <c r="AR30">
        <v>125.00000000010159</v>
      </c>
      <c r="AS30">
        <v>2</v>
      </c>
      <c r="AT30">
        <v>3</v>
      </c>
      <c r="AU30">
        <v>2</v>
      </c>
      <c r="AV30">
        <v>411</v>
      </c>
      <c r="AW30">
        <v>343.94558715820313</v>
      </c>
      <c r="AX30">
        <v>342.13708300000144</v>
      </c>
      <c r="AY30">
        <v>126.99749094992288</v>
      </c>
      <c r="AZ30">
        <v>125.00928946018698</v>
      </c>
      <c r="BA30">
        <v>2</v>
      </c>
      <c r="BB30">
        <v>4</v>
      </c>
      <c r="BC30">
        <v>2</v>
      </c>
      <c r="BD30">
        <v>509</v>
      </c>
      <c r="BE30">
        <v>564.23460912704468</v>
      </c>
      <c r="BF30">
        <v>560.91871900000115</v>
      </c>
      <c r="BG30">
        <v>128.03964971704517</v>
      </c>
      <c r="BH30">
        <v>125.00032880195022</v>
      </c>
      <c r="BI30">
        <v>2</v>
      </c>
      <c r="BJ30">
        <v>5</v>
      </c>
      <c r="BK30">
        <v>2</v>
      </c>
      <c r="BL30">
        <v>341</v>
      </c>
      <c r="BM30">
        <v>479.88690400123596</v>
      </c>
      <c r="BN30">
        <v>477.16671399999905</v>
      </c>
      <c r="BO30">
        <v>128.6329359865166</v>
      </c>
      <c r="BP30">
        <v>125.00539012775629</v>
      </c>
      <c r="BQ30">
        <v>3</v>
      </c>
      <c r="BR30">
        <v>3</v>
      </c>
      <c r="BS30">
        <v>2</v>
      </c>
      <c r="BT30">
        <v>896</v>
      </c>
      <c r="BU30">
        <v>936.88821196556091</v>
      </c>
      <c r="BV30">
        <v>931.02868500000477</v>
      </c>
      <c r="BW30">
        <v>125.00079762552622</v>
      </c>
      <c r="BX30">
        <v>125.00126626688916</v>
      </c>
      <c r="BY30">
        <v>125.17037154761539</v>
      </c>
      <c r="BZ30">
        <v>3</v>
      </c>
      <c r="CA30">
        <v>4</v>
      </c>
      <c r="CB30">
        <v>2</v>
      </c>
      <c r="CC30">
        <v>410</v>
      </c>
      <c r="CD30">
        <v>580.96321582794189</v>
      </c>
      <c r="CE30">
        <v>577.38974000000599</v>
      </c>
      <c r="CF30">
        <v>125.44351344734254</v>
      </c>
      <c r="CG30">
        <v>125.00058787179113</v>
      </c>
      <c r="CH30">
        <v>125.00208873609606</v>
      </c>
      <c r="CI30">
        <v>3</v>
      </c>
      <c r="CJ30">
        <v>5</v>
      </c>
      <c r="CK30">
        <v>2</v>
      </c>
      <c r="CL30">
        <v>398</v>
      </c>
      <c r="CM30">
        <v>695.57005906105042</v>
      </c>
      <c r="CN30">
        <v>691.28370099999302</v>
      </c>
      <c r="CO30">
        <v>127.97749533697623</v>
      </c>
      <c r="CP30">
        <v>127.56779038582185</v>
      </c>
      <c r="CQ30">
        <v>125.00630197080974</v>
      </c>
    </row>
    <row r="31" spans="1:95" s="8" customFormat="1" x14ac:dyDescent="0.35">
      <c r="A31">
        <v>1030</v>
      </c>
      <c r="B31">
        <v>1</v>
      </c>
      <c r="C31">
        <v>1</v>
      </c>
      <c r="D31">
        <v>2</v>
      </c>
      <c r="E31">
        <v>88</v>
      </c>
      <c r="F31">
        <v>18.093468904495239</v>
      </c>
      <c r="G31">
        <v>18.048857999994652</v>
      </c>
      <c r="H31">
        <v>125.00000000974755</v>
      </c>
      <c r="I31">
        <v>1</v>
      </c>
      <c r="J31">
        <v>2</v>
      </c>
      <c r="K31">
        <v>2</v>
      </c>
      <c r="L31">
        <v>66</v>
      </c>
      <c r="M31">
        <v>27.567090034484863</v>
      </c>
      <c r="N31">
        <v>27.422566000001098</v>
      </c>
      <c r="O31">
        <v>125.00000000998108</v>
      </c>
      <c r="P31">
        <v>1</v>
      </c>
      <c r="Q31">
        <v>3</v>
      </c>
      <c r="R31">
        <v>2</v>
      </c>
      <c r="S31">
        <v>88</v>
      </c>
      <c r="T31">
        <v>53.898941993713379</v>
      </c>
      <c r="U31">
        <v>53.697359999998298</v>
      </c>
      <c r="V31">
        <v>125.00000000942359</v>
      </c>
      <c r="W31">
        <v>1</v>
      </c>
      <c r="X31">
        <v>4</v>
      </c>
      <c r="Y31">
        <v>3</v>
      </c>
      <c r="Z31">
        <v>505</v>
      </c>
      <c r="AA31">
        <v>427.19632005691528</v>
      </c>
      <c r="AB31">
        <v>424.82964000000356</v>
      </c>
      <c r="AC31">
        <v>125.00000000001141</v>
      </c>
      <c r="AD31">
        <v>1</v>
      </c>
      <c r="AE31">
        <v>5</v>
      </c>
      <c r="AF31">
        <v>2</v>
      </c>
      <c r="AG31">
        <v>313</v>
      </c>
      <c r="AH31">
        <v>329.16610407829285</v>
      </c>
      <c r="AI31">
        <v>327.09457899999688</v>
      </c>
      <c r="AJ31">
        <v>134.99999999145425</v>
      </c>
      <c r="AK31">
        <v>2</v>
      </c>
      <c r="AL31">
        <v>2</v>
      </c>
      <c r="AM31">
        <v>2</v>
      </c>
      <c r="AN31">
        <v>1013</v>
      </c>
      <c r="AO31">
        <v>562.55539679527283</v>
      </c>
      <c r="AP31">
        <v>559.04045600000245</v>
      </c>
      <c r="AQ31">
        <v>125.01388985256996</v>
      </c>
      <c r="AR31">
        <v>125.00001993561959</v>
      </c>
      <c r="AS31">
        <v>2</v>
      </c>
      <c r="AT31">
        <v>3</v>
      </c>
      <c r="AU31">
        <v>3</v>
      </c>
      <c r="AV31">
        <v>383</v>
      </c>
      <c r="AW31">
        <v>309.78528118133545</v>
      </c>
      <c r="AX31">
        <v>308.0284110000066</v>
      </c>
      <c r="AY31">
        <v>125.0000000000079</v>
      </c>
      <c r="AZ31">
        <v>125.00000000001167</v>
      </c>
      <c r="BA31">
        <v>2</v>
      </c>
      <c r="BB31">
        <v>4</v>
      </c>
      <c r="BC31">
        <v>2</v>
      </c>
      <c r="BD31">
        <v>358</v>
      </c>
      <c r="BE31">
        <v>399.9415910243988</v>
      </c>
      <c r="BF31">
        <v>397.58032200000162</v>
      </c>
      <c r="BG31">
        <v>131.03203606296404</v>
      </c>
      <c r="BH31">
        <v>125.00002798885545</v>
      </c>
      <c r="BI31">
        <v>2</v>
      </c>
      <c r="BJ31">
        <v>5</v>
      </c>
      <c r="BK31">
        <v>2</v>
      </c>
      <c r="BL31">
        <v>460</v>
      </c>
      <c r="BM31">
        <v>639.83879089355469</v>
      </c>
      <c r="BN31">
        <v>636.17258700000093</v>
      </c>
      <c r="BO31">
        <v>125.66709927062334</v>
      </c>
      <c r="BP31">
        <v>134.9896843766258</v>
      </c>
      <c r="BQ31">
        <v>3</v>
      </c>
      <c r="BR31">
        <v>3</v>
      </c>
      <c r="BS31">
        <v>3</v>
      </c>
      <c r="BT31">
        <v>375</v>
      </c>
      <c r="BU31">
        <v>385.55990219116211</v>
      </c>
      <c r="BV31">
        <v>383.25971799999388</v>
      </c>
      <c r="BW31">
        <v>125.00000000000527</v>
      </c>
      <c r="BX31">
        <v>125.00000000001236</v>
      </c>
      <c r="BY31">
        <v>125.00000000002096</v>
      </c>
      <c r="BZ31">
        <v>3</v>
      </c>
      <c r="CA31">
        <v>4</v>
      </c>
      <c r="CB31">
        <v>2</v>
      </c>
      <c r="CC31">
        <v>507</v>
      </c>
      <c r="CD31">
        <v>689.78671598434448</v>
      </c>
      <c r="CE31">
        <v>685.59097199999815</v>
      </c>
      <c r="CF31">
        <v>130.41938222895214</v>
      </c>
      <c r="CG31">
        <v>125.00046691748261</v>
      </c>
      <c r="CH31">
        <v>125.00025956698832</v>
      </c>
      <c r="CI31">
        <v>3</v>
      </c>
      <c r="CJ31">
        <v>5</v>
      </c>
      <c r="CK31">
        <v>4</v>
      </c>
      <c r="CL31">
        <v>4745</v>
      </c>
      <c r="CM31">
        <v>8298.1871039867401</v>
      </c>
      <c r="CN31">
        <v>8242.0222000000067</v>
      </c>
      <c r="CO31">
        <v>134.7412394511253</v>
      </c>
      <c r="CP31">
        <v>125.00000000000117</v>
      </c>
      <c r="CQ31">
        <v>125.00000000000153</v>
      </c>
    </row>
    <row r="32" spans="1:95" s="8" customFormat="1" x14ac:dyDescent="0.35">
      <c r="A32">
        <v>1031</v>
      </c>
      <c r="B32">
        <v>1</v>
      </c>
      <c r="C32">
        <v>1</v>
      </c>
      <c r="D32">
        <v>3</v>
      </c>
      <c r="E32">
        <v>264</v>
      </c>
      <c r="F32">
        <v>56.104931831359863</v>
      </c>
      <c r="G32">
        <v>54.893360999999913</v>
      </c>
      <c r="H32">
        <v>125.0000000000514</v>
      </c>
      <c r="I32">
        <v>1</v>
      </c>
      <c r="J32">
        <v>2</v>
      </c>
      <c r="K32">
        <v>3</v>
      </c>
      <c r="L32">
        <v>104</v>
      </c>
      <c r="M32">
        <v>56.754724979400635</v>
      </c>
      <c r="N32">
        <v>56.597962000000052</v>
      </c>
      <c r="O32">
        <v>125.000000000065</v>
      </c>
      <c r="P32">
        <v>1</v>
      </c>
      <c r="Q32">
        <v>3</v>
      </c>
      <c r="R32">
        <v>3</v>
      </c>
      <c r="S32">
        <v>302</v>
      </c>
      <c r="T32">
        <v>172.42645001411438</v>
      </c>
      <c r="U32">
        <v>171.83490900000004</v>
      </c>
      <c r="V32">
        <v>125.00000000006433</v>
      </c>
      <c r="W32">
        <v>1</v>
      </c>
      <c r="X32">
        <v>4</v>
      </c>
      <c r="Y32">
        <v>2</v>
      </c>
      <c r="Z32">
        <v>362</v>
      </c>
      <c r="AA32">
        <v>301.169193983078</v>
      </c>
      <c r="AB32">
        <v>298.90790000000015</v>
      </c>
      <c r="AC32">
        <v>125.00328186146669</v>
      </c>
      <c r="AD32">
        <v>1</v>
      </c>
      <c r="AE32">
        <v>5</v>
      </c>
      <c r="AF32">
        <v>2</v>
      </c>
      <c r="AG32">
        <v>394</v>
      </c>
      <c r="AH32">
        <v>372.63696217536926</v>
      </c>
      <c r="AI32">
        <v>370.27968499999974</v>
      </c>
      <c r="AJ32">
        <v>125.01200795940426</v>
      </c>
      <c r="AK32">
        <v>2</v>
      </c>
      <c r="AL32">
        <v>2</v>
      </c>
      <c r="AM32">
        <v>2</v>
      </c>
      <c r="AN32">
        <v>465</v>
      </c>
      <c r="AO32">
        <v>230.75537204742432</v>
      </c>
      <c r="AP32">
        <v>228.69059399999992</v>
      </c>
      <c r="AQ32">
        <v>125.00086664571101</v>
      </c>
      <c r="AR32">
        <v>125.01750208730346</v>
      </c>
      <c r="AS32">
        <v>2</v>
      </c>
      <c r="AT32">
        <v>3</v>
      </c>
      <c r="AU32">
        <v>3</v>
      </c>
      <c r="AV32">
        <v>242</v>
      </c>
      <c r="AW32">
        <v>194.33648705482483</v>
      </c>
      <c r="AX32">
        <v>192.55701399999998</v>
      </c>
      <c r="AY32">
        <v>125.00000000005812</v>
      </c>
      <c r="AZ32">
        <v>125.00000000007759</v>
      </c>
      <c r="BA32">
        <v>2</v>
      </c>
      <c r="BB32">
        <v>4</v>
      </c>
      <c r="BC32">
        <v>2</v>
      </c>
      <c r="BD32">
        <v>339</v>
      </c>
      <c r="BE32">
        <v>354.76542401313782</v>
      </c>
      <c r="BF32">
        <v>351.91669600000023</v>
      </c>
      <c r="BG32">
        <v>125.936861748436</v>
      </c>
      <c r="BH32">
        <v>125.00118892126363</v>
      </c>
      <c r="BI32">
        <v>2</v>
      </c>
      <c r="BJ32">
        <v>5</v>
      </c>
      <c r="BK32">
        <v>2</v>
      </c>
      <c r="BL32">
        <v>625</v>
      </c>
      <c r="BM32">
        <v>910.99113488197327</v>
      </c>
      <c r="BN32">
        <v>903.23330399999941</v>
      </c>
      <c r="BO32">
        <v>126.36260835208712</v>
      </c>
      <c r="BP32">
        <v>125.00009163687564</v>
      </c>
      <c r="BQ32">
        <v>3</v>
      </c>
      <c r="BR32">
        <v>3</v>
      </c>
      <c r="BS32">
        <v>2</v>
      </c>
      <c r="BT32">
        <v>844</v>
      </c>
      <c r="BU32">
        <v>917.72174191474915</v>
      </c>
      <c r="BV32">
        <v>909.59353499999997</v>
      </c>
      <c r="BW32">
        <v>125.05837350878275</v>
      </c>
      <c r="BX32">
        <v>125.01076951494368</v>
      </c>
      <c r="BY32">
        <v>125.01217747181107</v>
      </c>
      <c r="BZ32">
        <v>3</v>
      </c>
      <c r="CA32">
        <v>4</v>
      </c>
      <c r="CB32">
        <v>3</v>
      </c>
      <c r="CC32">
        <v>585</v>
      </c>
      <c r="CD32">
        <v>778.49349308013916</v>
      </c>
      <c r="CE32">
        <v>772.5999669999992</v>
      </c>
      <c r="CF32">
        <v>125.00000000006506</v>
      </c>
      <c r="CG32">
        <v>125.00000000011522</v>
      </c>
      <c r="CH32">
        <v>125.00000000011012</v>
      </c>
      <c r="CI32">
        <v>3</v>
      </c>
      <c r="CJ32">
        <v>5</v>
      </c>
      <c r="CK32">
        <v>2</v>
      </c>
      <c r="CL32">
        <v>371</v>
      </c>
      <c r="CM32">
        <v>765.62052512168884</v>
      </c>
      <c r="CN32">
        <v>759.66702500000065</v>
      </c>
      <c r="CO32">
        <v>127.50093953576715</v>
      </c>
      <c r="CP32">
        <v>128.25238082509904</v>
      </c>
      <c r="CQ32">
        <v>125.00114462042173</v>
      </c>
    </row>
    <row r="33" spans="1:95" s="8" customFormat="1" x14ac:dyDescent="0.35">
      <c r="A33">
        <v>1032</v>
      </c>
      <c r="B33">
        <v>1</v>
      </c>
      <c r="C33">
        <v>1</v>
      </c>
      <c r="D33">
        <v>3</v>
      </c>
      <c r="E33">
        <v>346</v>
      </c>
      <c r="F33">
        <v>80.080423831939697</v>
      </c>
      <c r="G33">
        <v>79.7608139999993</v>
      </c>
      <c r="H33">
        <v>125.00000000014204</v>
      </c>
      <c r="I33">
        <v>1</v>
      </c>
      <c r="J33">
        <v>2</v>
      </c>
      <c r="K33">
        <v>3</v>
      </c>
      <c r="L33">
        <v>86</v>
      </c>
      <c r="M33">
        <v>39.197609901428223</v>
      </c>
      <c r="N33">
        <v>39.167805000000044</v>
      </c>
      <c r="O33">
        <v>125.00000000013979</v>
      </c>
      <c r="P33">
        <v>1</v>
      </c>
      <c r="Q33">
        <v>3</v>
      </c>
      <c r="R33">
        <v>2</v>
      </c>
      <c r="S33">
        <v>555</v>
      </c>
      <c r="T33">
        <v>398.54624891281128</v>
      </c>
      <c r="U33">
        <v>395.39446300000054</v>
      </c>
      <c r="V33">
        <v>125.0092809043315</v>
      </c>
      <c r="W33">
        <v>1</v>
      </c>
      <c r="X33">
        <v>4</v>
      </c>
      <c r="Y33">
        <v>2</v>
      </c>
      <c r="Z33">
        <v>320</v>
      </c>
      <c r="AA33">
        <v>340.59464502334595</v>
      </c>
      <c r="AB33">
        <v>338.10090599999967</v>
      </c>
      <c r="AC33">
        <v>125.00323723462856</v>
      </c>
      <c r="AD33">
        <v>1</v>
      </c>
      <c r="AE33">
        <v>5</v>
      </c>
      <c r="AF33">
        <v>2</v>
      </c>
      <c r="AG33">
        <v>396</v>
      </c>
      <c r="AH33">
        <v>392.09620404243469</v>
      </c>
      <c r="AI33">
        <v>389.40533300000061</v>
      </c>
      <c r="AJ33">
        <v>125.00928090433153</v>
      </c>
      <c r="AK33">
        <v>2</v>
      </c>
      <c r="AL33">
        <v>2</v>
      </c>
      <c r="AM33">
        <v>3</v>
      </c>
      <c r="AN33">
        <v>527</v>
      </c>
      <c r="AO33">
        <v>336.44615507125854</v>
      </c>
      <c r="AP33">
        <v>333.78645499999948</v>
      </c>
      <c r="AQ33">
        <v>125.00000000011921</v>
      </c>
      <c r="AR33">
        <v>125.00000000016894</v>
      </c>
      <c r="AS33">
        <v>2</v>
      </c>
      <c r="AT33">
        <v>3</v>
      </c>
      <c r="AU33">
        <v>3</v>
      </c>
      <c r="AV33">
        <v>798</v>
      </c>
      <c r="AW33">
        <v>621.70917892456055</v>
      </c>
      <c r="AX33">
        <v>617.3325679999989</v>
      </c>
      <c r="AY33">
        <v>125.00000000018017</v>
      </c>
      <c r="AZ33">
        <v>125.00000000012707</v>
      </c>
      <c r="BA33">
        <v>2</v>
      </c>
      <c r="BB33">
        <v>4</v>
      </c>
      <c r="BC33">
        <v>3</v>
      </c>
      <c r="BD33">
        <v>538</v>
      </c>
      <c r="BE33">
        <v>569.14367413520813</v>
      </c>
      <c r="BF33">
        <v>565.04942200000005</v>
      </c>
      <c r="BG33">
        <v>125.00000000026175</v>
      </c>
      <c r="BH33">
        <v>125.00000000013617</v>
      </c>
      <c r="BI33">
        <v>2</v>
      </c>
      <c r="BJ33">
        <v>5</v>
      </c>
      <c r="BK33">
        <v>3</v>
      </c>
      <c r="BL33">
        <v>2252</v>
      </c>
      <c r="BM33">
        <v>3593.4580750465393</v>
      </c>
      <c r="BN33">
        <v>3562.0405840000003</v>
      </c>
      <c r="BO33">
        <v>125.00000000035826</v>
      </c>
      <c r="BP33">
        <v>125.00000000013016</v>
      </c>
      <c r="BQ33">
        <v>3</v>
      </c>
      <c r="BR33">
        <v>3</v>
      </c>
      <c r="BS33">
        <v>3</v>
      </c>
      <c r="BT33">
        <v>573</v>
      </c>
      <c r="BU33">
        <v>824.92237496376038</v>
      </c>
      <c r="BV33">
        <v>818.3440300000002</v>
      </c>
      <c r="BW33">
        <v>125.00000000012011</v>
      </c>
      <c r="BX33">
        <v>125.00000000012335</v>
      </c>
      <c r="BY33">
        <v>125.00000000027052</v>
      </c>
      <c r="BZ33">
        <v>3</v>
      </c>
      <c r="CA33">
        <v>4</v>
      </c>
      <c r="CB33">
        <v>2</v>
      </c>
      <c r="CC33">
        <v>737</v>
      </c>
      <c r="CD33">
        <v>1222.7991759777069</v>
      </c>
      <c r="CE33">
        <v>1213.2886300000009</v>
      </c>
      <c r="CF33">
        <v>125.00929264299552</v>
      </c>
      <c r="CG33">
        <v>125.00666711148578</v>
      </c>
      <c r="CH33">
        <v>125.00012074592942</v>
      </c>
      <c r="CI33">
        <v>3</v>
      </c>
      <c r="CJ33">
        <v>5</v>
      </c>
      <c r="CK33">
        <v>2</v>
      </c>
      <c r="CL33">
        <v>486</v>
      </c>
      <c r="CM33">
        <v>863.23430895805359</v>
      </c>
      <c r="CN33">
        <v>858.39865800000007</v>
      </c>
      <c r="CO33">
        <v>127.72653780780379</v>
      </c>
      <c r="CP33">
        <v>127.52572408602751</v>
      </c>
      <c r="CQ33">
        <v>125.00206212255408</v>
      </c>
    </row>
    <row r="34" spans="1:95" s="8" customFormat="1" x14ac:dyDescent="0.35">
      <c r="A34">
        <v>1033</v>
      </c>
      <c r="B34">
        <v>1</v>
      </c>
      <c r="C34">
        <v>1</v>
      </c>
      <c r="D34">
        <v>3</v>
      </c>
      <c r="E34">
        <v>1166</v>
      </c>
      <c r="F34">
        <v>215.27567505836487</v>
      </c>
      <c r="G34">
        <v>214.12309000000096</v>
      </c>
      <c r="H34">
        <v>134.99999999993673</v>
      </c>
      <c r="I34">
        <v>1</v>
      </c>
      <c r="J34">
        <v>2</v>
      </c>
      <c r="K34">
        <v>3</v>
      </c>
      <c r="L34">
        <v>2540</v>
      </c>
      <c r="M34">
        <v>938.43726801872253</v>
      </c>
      <c r="N34">
        <v>933.17312800000036</v>
      </c>
      <c r="O34">
        <v>129.99595282659402</v>
      </c>
      <c r="P34">
        <v>1</v>
      </c>
      <c r="Q34">
        <v>3</v>
      </c>
      <c r="R34">
        <v>1</v>
      </c>
      <c r="S34">
        <v>51</v>
      </c>
      <c r="T34">
        <v>28.779093980789185</v>
      </c>
      <c r="U34">
        <v>28.676102000001265</v>
      </c>
      <c r="V34">
        <v>130.00019690620479</v>
      </c>
      <c r="W34">
        <v>1</v>
      </c>
      <c r="X34">
        <v>4</v>
      </c>
      <c r="Y34">
        <v>1</v>
      </c>
      <c r="Z34">
        <v>100</v>
      </c>
      <c r="AA34">
        <v>74.747414827346802</v>
      </c>
      <c r="AB34">
        <v>74.566783999998734</v>
      </c>
      <c r="AC34">
        <v>130.00019706448902</v>
      </c>
      <c r="AD34">
        <v>1</v>
      </c>
      <c r="AE34">
        <v>5</v>
      </c>
      <c r="AF34">
        <v>2</v>
      </c>
      <c r="AG34">
        <v>1232</v>
      </c>
      <c r="AH34">
        <v>1688.735515832901</v>
      </c>
      <c r="AI34">
        <v>1677.2204729999976</v>
      </c>
      <c r="AJ34">
        <v>130.00980004800408</v>
      </c>
      <c r="AK34">
        <v>2</v>
      </c>
      <c r="AL34">
        <v>2</v>
      </c>
      <c r="AM34">
        <v>2</v>
      </c>
      <c r="AN34">
        <v>666</v>
      </c>
      <c r="AO34">
        <v>501.27962803840637</v>
      </c>
      <c r="AP34">
        <v>498.12345100000312</v>
      </c>
      <c r="AQ34">
        <v>129.99469430672679</v>
      </c>
      <c r="AR34">
        <v>129.98283970250182</v>
      </c>
      <c r="AS34">
        <v>2</v>
      </c>
      <c r="AT34">
        <v>3</v>
      </c>
      <c r="AU34">
        <v>8</v>
      </c>
      <c r="AV34">
        <v>6956</v>
      </c>
      <c r="AW34">
        <v>5296.6543002128601</v>
      </c>
      <c r="AX34">
        <v>5268.6060959999959</v>
      </c>
      <c r="AY34">
        <v>129.99999426144876</v>
      </c>
      <c r="AZ34">
        <v>130.00035300470907</v>
      </c>
      <c r="BA34">
        <v>2</v>
      </c>
      <c r="BB34">
        <v>4</v>
      </c>
      <c r="BC34">
        <v>7</v>
      </c>
      <c r="BD34">
        <v>3769</v>
      </c>
      <c r="BE34">
        <v>3746.6307010650635</v>
      </c>
      <c r="BF34">
        <v>3728.2837800000016</v>
      </c>
      <c r="BG34">
        <v>129.98906280387666</v>
      </c>
      <c r="BH34">
        <v>130.01077747898967</v>
      </c>
      <c r="BI34">
        <v>2</v>
      </c>
      <c r="BJ34">
        <v>5</v>
      </c>
      <c r="BK34">
        <v>5</v>
      </c>
      <c r="BL34">
        <v>2289</v>
      </c>
      <c r="BM34">
        <v>2874.3898000717163</v>
      </c>
      <c r="BN34">
        <v>2859.9199940000035</v>
      </c>
      <c r="BO34">
        <v>129.98017615849767</v>
      </c>
      <c r="BP34">
        <v>130.0157085256433</v>
      </c>
      <c r="BQ34">
        <v>3</v>
      </c>
      <c r="BR34">
        <v>3</v>
      </c>
      <c r="BS34">
        <v>4</v>
      </c>
      <c r="BT34">
        <v>4079</v>
      </c>
      <c r="BU34">
        <v>3276.880744934082</v>
      </c>
      <c r="BV34">
        <v>3262.5878209999973</v>
      </c>
      <c r="BW34">
        <v>125.00000000000018</v>
      </c>
      <c r="BX34">
        <v>125.00000000000021</v>
      </c>
      <c r="BY34">
        <v>125.00000000000045</v>
      </c>
      <c r="BZ34">
        <v>3</v>
      </c>
      <c r="CA34">
        <v>4</v>
      </c>
      <c r="CB34">
        <v>3</v>
      </c>
      <c r="CC34">
        <v>1435</v>
      </c>
      <c r="CD34">
        <v>1530.5192170143127</v>
      </c>
      <c r="CE34">
        <v>1524.3816409999999</v>
      </c>
      <c r="CF34">
        <v>125.00000000165399</v>
      </c>
      <c r="CG34">
        <v>125.00000000186427</v>
      </c>
      <c r="CH34">
        <v>125.00000000164398</v>
      </c>
      <c r="CI34">
        <v>3</v>
      </c>
      <c r="CJ34">
        <v>5</v>
      </c>
      <c r="CK34">
        <v>4</v>
      </c>
      <c r="CL34">
        <v>2463</v>
      </c>
      <c r="CM34">
        <v>3263.6966459751129</v>
      </c>
      <c r="CN34">
        <v>3250.0361110000013</v>
      </c>
      <c r="CO34">
        <v>125.00000000003952</v>
      </c>
      <c r="CP34">
        <v>125.00000000003411</v>
      </c>
      <c r="CQ34">
        <v>125.00000000001846</v>
      </c>
    </row>
    <row r="35" spans="1:95" s="8" customFormat="1" x14ac:dyDescent="0.35">
      <c r="A35">
        <v>1034</v>
      </c>
      <c r="B35">
        <v>1</v>
      </c>
      <c r="C35">
        <v>1</v>
      </c>
      <c r="D35">
        <v>3</v>
      </c>
      <c r="E35">
        <v>286</v>
      </c>
      <c r="F35">
        <v>47.037335157394409</v>
      </c>
      <c r="G35">
        <v>46.858543000002101</v>
      </c>
      <c r="H35">
        <v>125.00000000016942</v>
      </c>
      <c r="I35">
        <v>1</v>
      </c>
      <c r="J35">
        <v>2</v>
      </c>
      <c r="K35">
        <v>3</v>
      </c>
      <c r="L35">
        <v>340</v>
      </c>
      <c r="M35">
        <v>109.85444903373718</v>
      </c>
      <c r="N35">
        <v>109.48567100000218</v>
      </c>
      <c r="O35">
        <v>125.00000000017431</v>
      </c>
      <c r="P35">
        <v>1</v>
      </c>
      <c r="Q35">
        <v>3</v>
      </c>
      <c r="R35">
        <v>3</v>
      </c>
      <c r="S35">
        <v>1114</v>
      </c>
      <c r="T35">
        <v>538.35845589637756</v>
      </c>
      <c r="U35">
        <v>536.31705599999987</v>
      </c>
      <c r="V35">
        <v>125.00094586348921</v>
      </c>
      <c r="W35">
        <v>1</v>
      </c>
      <c r="X35">
        <v>4</v>
      </c>
      <c r="Y35">
        <v>2</v>
      </c>
      <c r="Z35">
        <v>650</v>
      </c>
      <c r="AA35">
        <v>416.68587708473206</v>
      </c>
      <c r="AB35">
        <v>415.20582899999135</v>
      </c>
      <c r="AC35">
        <v>125.00202074606889</v>
      </c>
      <c r="AD35">
        <v>1</v>
      </c>
      <c r="AE35">
        <v>5</v>
      </c>
      <c r="AF35">
        <v>3</v>
      </c>
      <c r="AG35">
        <v>283</v>
      </c>
      <c r="AH35">
        <v>222.70953798294067</v>
      </c>
      <c r="AI35">
        <v>222.09065900000132</v>
      </c>
      <c r="AJ35">
        <v>125.00000000013974</v>
      </c>
      <c r="AK35">
        <v>2</v>
      </c>
      <c r="AL35">
        <v>2</v>
      </c>
      <c r="AM35">
        <v>3</v>
      </c>
      <c r="AN35">
        <v>468</v>
      </c>
      <c r="AO35">
        <v>200.98094892501831</v>
      </c>
      <c r="AP35">
        <v>200.02846100000897</v>
      </c>
      <c r="AQ35">
        <v>125.00000000013921</v>
      </c>
      <c r="AR35">
        <v>125.00000000023293</v>
      </c>
      <c r="AS35">
        <v>2</v>
      </c>
      <c r="AT35">
        <v>3</v>
      </c>
      <c r="AU35">
        <v>2</v>
      </c>
      <c r="AV35">
        <v>596</v>
      </c>
      <c r="AW35">
        <v>379.95573592185974</v>
      </c>
      <c r="AX35">
        <v>378.54144799999631</v>
      </c>
      <c r="AY35">
        <v>125.00042422395526</v>
      </c>
      <c r="AZ35">
        <v>125.00206449349895</v>
      </c>
      <c r="BA35">
        <v>2</v>
      </c>
      <c r="BB35">
        <v>4</v>
      </c>
      <c r="BC35">
        <v>2</v>
      </c>
      <c r="BD35">
        <v>453</v>
      </c>
      <c r="BE35">
        <v>381.8396270275116</v>
      </c>
      <c r="BF35">
        <v>380.3988079999981</v>
      </c>
      <c r="BG35">
        <v>125.11120264399916</v>
      </c>
      <c r="BH35">
        <v>125.00140835403155</v>
      </c>
      <c r="BI35">
        <v>2</v>
      </c>
      <c r="BJ35">
        <v>5</v>
      </c>
      <c r="BK35">
        <v>2</v>
      </c>
      <c r="BL35">
        <v>393</v>
      </c>
      <c r="BM35">
        <v>406.67276120185852</v>
      </c>
      <c r="BN35">
        <v>405.26367200000095</v>
      </c>
      <c r="BO35">
        <v>128.16614784933461</v>
      </c>
      <c r="BP35">
        <v>125.00185071762894</v>
      </c>
      <c r="BQ35">
        <v>3</v>
      </c>
      <c r="BR35">
        <v>3</v>
      </c>
      <c r="BS35">
        <v>2</v>
      </c>
      <c r="BT35">
        <v>459</v>
      </c>
      <c r="BU35">
        <v>336.48505806922913</v>
      </c>
      <c r="BV35">
        <v>333.48275100000319</v>
      </c>
      <c r="BW35">
        <v>125.00010778798699</v>
      </c>
      <c r="BX35">
        <v>125.00190811648172</v>
      </c>
      <c r="BY35">
        <v>125.00093623925306</v>
      </c>
      <c r="BZ35">
        <v>3</v>
      </c>
      <c r="CA35">
        <v>4</v>
      </c>
      <c r="CB35">
        <v>3</v>
      </c>
      <c r="CC35">
        <v>711</v>
      </c>
      <c r="CD35">
        <v>689.81731200218201</v>
      </c>
      <c r="CE35">
        <v>686.78370799999539</v>
      </c>
      <c r="CF35">
        <v>125.0000000001741</v>
      </c>
      <c r="CG35">
        <v>125.00000000018981</v>
      </c>
      <c r="CH35">
        <v>125.00000000012244</v>
      </c>
      <c r="CI35">
        <v>3</v>
      </c>
      <c r="CJ35">
        <v>5</v>
      </c>
      <c r="CK35">
        <v>3</v>
      </c>
      <c r="CL35">
        <v>511</v>
      </c>
      <c r="CM35">
        <v>618.76148509979248</v>
      </c>
      <c r="CN35">
        <v>616.28410299999814</v>
      </c>
      <c r="CO35">
        <v>125.00000000020518</v>
      </c>
      <c r="CP35">
        <v>125.00000000021032</v>
      </c>
      <c r="CQ35">
        <v>125.00000000008205</v>
      </c>
    </row>
    <row r="36" spans="1:95" s="8" customFormat="1" x14ac:dyDescent="0.35">
      <c r="A36">
        <v>1035</v>
      </c>
      <c r="B36">
        <v>1</v>
      </c>
      <c r="C36">
        <v>1</v>
      </c>
      <c r="D36">
        <v>3</v>
      </c>
      <c r="E36">
        <v>789</v>
      </c>
      <c r="F36">
        <v>117.66163611412048</v>
      </c>
      <c r="G36">
        <v>117.04202900000382</v>
      </c>
      <c r="H36">
        <v>125.00000000016017</v>
      </c>
      <c r="I36">
        <v>1</v>
      </c>
      <c r="J36">
        <v>2</v>
      </c>
      <c r="K36">
        <v>3</v>
      </c>
      <c r="L36">
        <v>255</v>
      </c>
      <c r="M36">
        <v>74.862776041030884</v>
      </c>
      <c r="N36">
        <v>74.579061999997066</v>
      </c>
      <c r="O36">
        <v>125.00000000016327</v>
      </c>
      <c r="P36">
        <v>1</v>
      </c>
      <c r="Q36">
        <v>3</v>
      </c>
      <c r="R36">
        <v>3</v>
      </c>
      <c r="S36">
        <v>213</v>
      </c>
      <c r="T36">
        <v>93.176982879638672</v>
      </c>
      <c r="U36">
        <v>92.992699000002176</v>
      </c>
      <c r="V36">
        <v>125.00000000015615</v>
      </c>
      <c r="W36">
        <v>1</v>
      </c>
      <c r="X36">
        <v>4</v>
      </c>
      <c r="Y36">
        <v>3</v>
      </c>
      <c r="Z36">
        <v>252</v>
      </c>
      <c r="AA36">
        <v>146.26742887496948</v>
      </c>
      <c r="AB36">
        <v>145.8988970000064</v>
      </c>
      <c r="AC36">
        <v>125.00000000015066</v>
      </c>
      <c r="AD36">
        <v>1</v>
      </c>
      <c r="AE36">
        <v>5</v>
      </c>
      <c r="AF36">
        <v>3</v>
      </c>
      <c r="AG36">
        <v>415</v>
      </c>
      <c r="AH36">
        <v>300.08668088912964</v>
      </c>
      <c r="AI36">
        <v>298.74952699999267</v>
      </c>
      <c r="AJ36">
        <v>125.00000000014604</v>
      </c>
      <c r="AK36">
        <v>2</v>
      </c>
      <c r="AL36">
        <v>2</v>
      </c>
      <c r="AM36">
        <v>3</v>
      </c>
      <c r="AN36">
        <v>291</v>
      </c>
      <c r="AO36">
        <v>113.21883583068848</v>
      </c>
      <c r="AP36">
        <v>112.62497399999847</v>
      </c>
      <c r="AQ36">
        <v>125.00000000012108</v>
      </c>
      <c r="AR36">
        <v>125.00000000025057</v>
      </c>
      <c r="AS36">
        <v>2</v>
      </c>
      <c r="AT36">
        <v>3</v>
      </c>
      <c r="AU36">
        <v>3</v>
      </c>
      <c r="AV36">
        <v>548</v>
      </c>
      <c r="AW36">
        <v>319.44747710227966</v>
      </c>
      <c r="AX36">
        <v>318.01936799999385</v>
      </c>
      <c r="AY36">
        <v>125.00000000016692</v>
      </c>
      <c r="AZ36">
        <v>125.0000000001467</v>
      </c>
      <c r="BA36">
        <v>2</v>
      </c>
      <c r="BB36">
        <v>4</v>
      </c>
      <c r="BC36">
        <v>2</v>
      </c>
      <c r="BD36">
        <v>383</v>
      </c>
      <c r="BE36">
        <v>297.63779592514038</v>
      </c>
      <c r="BF36">
        <v>296.50303699999495</v>
      </c>
      <c r="BG36">
        <v>127.33112480754556</v>
      </c>
      <c r="BH36">
        <v>125.00099242083488</v>
      </c>
      <c r="BI36">
        <v>2</v>
      </c>
      <c r="BJ36">
        <v>5</v>
      </c>
      <c r="BK36">
        <v>3</v>
      </c>
      <c r="BL36">
        <v>603</v>
      </c>
      <c r="BM36">
        <v>582.60909414291382</v>
      </c>
      <c r="BN36">
        <v>579.99536100000114</v>
      </c>
      <c r="BO36">
        <v>125.02889143835813</v>
      </c>
      <c r="BP36">
        <v>125.00000084823427</v>
      </c>
      <c r="BQ36">
        <v>3</v>
      </c>
      <c r="BR36">
        <v>3</v>
      </c>
      <c r="BS36">
        <v>3</v>
      </c>
      <c r="BT36">
        <v>999</v>
      </c>
      <c r="BU36">
        <v>726.75561594963074</v>
      </c>
      <c r="BV36">
        <v>723.42731800000183</v>
      </c>
      <c r="BW36">
        <v>125.00000000011147</v>
      </c>
      <c r="BX36">
        <v>125.00000000017371</v>
      </c>
      <c r="BY36">
        <v>125.00000000022455</v>
      </c>
      <c r="BZ36">
        <v>3</v>
      </c>
      <c r="CA36">
        <v>4</v>
      </c>
      <c r="CB36">
        <v>2</v>
      </c>
      <c r="CC36">
        <v>452</v>
      </c>
      <c r="CD36">
        <v>439.3552508354187</v>
      </c>
      <c r="CE36">
        <v>437.52783500000078</v>
      </c>
      <c r="CF36">
        <v>125.00147472952324</v>
      </c>
      <c r="CG36">
        <v>125.01070431116597</v>
      </c>
      <c r="CH36">
        <v>125.00100736893971</v>
      </c>
      <c r="CI36">
        <v>3</v>
      </c>
      <c r="CJ36">
        <v>5</v>
      </c>
      <c r="CK36">
        <v>3</v>
      </c>
      <c r="CL36">
        <v>911</v>
      </c>
      <c r="CM36">
        <v>1105.5196969509125</v>
      </c>
      <c r="CN36">
        <v>1100.2337340000013</v>
      </c>
      <c r="CO36">
        <v>129.17252049059479</v>
      </c>
      <c r="CP36">
        <v>125.00076854168228</v>
      </c>
      <c r="CQ36">
        <v>125.02599361349999</v>
      </c>
    </row>
    <row r="37" spans="1:95" s="8" customFormat="1" x14ac:dyDescent="0.35">
      <c r="A37">
        <v>1036</v>
      </c>
      <c r="B37">
        <v>1</v>
      </c>
      <c r="C37">
        <v>1</v>
      </c>
      <c r="D37">
        <v>2</v>
      </c>
      <c r="E37">
        <v>549</v>
      </c>
      <c r="F37">
        <v>82.023098945617676</v>
      </c>
      <c r="G37">
        <v>81.55588300000818</v>
      </c>
      <c r="H37">
        <v>125.02498383732559</v>
      </c>
      <c r="I37">
        <v>1</v>
      </c>
      <c r="J37">
        <v>2</v>
      </c>
      <c r="K37">
        <v>2</v>
      </c>
      <c r="L37">
        <v>365</v>
      </c>
      <c r="M37">
        <v>107.16305494308472</v>
      </c>
      <c r="N37">
        <v>106.76323499999125</v>
      </c>
      <c r="O37">
        <v>125.02898361528682</v>
      </c>
      <c r="P37">
        <v>1</v>
      </c>
      <c r="Q37">
        <v>3</v>
      </c>
      <c r="R37">
        <v>2</v>
      </c>
      <c r="S37">
        <v>383</v>
      </c>
      <c r="T37">
        <v>159.29249596595764</v>
      </c>
      <c r="U37">
        <v>158.70551399999385</v>
      </c>
      <c r="V37">
        <v>125.00542523737333</v>
      </c>
      <c r="W37">
        <v>1</v>
      </c>
      <c r="X37">
        <v>4</v>
      </c>
      <c r="Y37">
        <v>2</v>
      </c>
      <c r="Z37">
        <v>522</v>
      </c>
      <c r="AA37">
        <v>288.1381139755249</v>
      </c>
      <c r="AB37">
        <v>286.85054400000081</v>
      </c>
      <c r="AC37">
        <v>125.00542523737333</v>
      </c>
      <c r="AD37">
        <v>1</v>
      </c>
      <c r="AE37">
        <v>5</v>
      </c>
      <c r="AF37">
        <v>2</v>
      </c>
      <c r="AG37">
        <v>344</v>
      </c>
      <c r="AH37">
        <v>236.40975189208984</v>
      </c>
      <c r="AI37">
        <v>235.77405100000033</v>
      </c>
      <c r="AJ37">
        <v>125.00542523737333</v>
      </c>
      <c r="AK37">
        <v>2</v>
      </c>
      <c r="AL37">
        <v>2</v>
      </c>
      <c r="AM37">
        <v>3</v>
      </c>
      <c r="AN37">
        <v>1018</v>
      </c>
      <c r="AO37">
        <v>374.67656111717224</v>
      </c>
      <c r="AP37">
        <v>373.14858200000162</v>
      </c>
      <c r="AQ37">
        <v>125.00000000030819</v>
      </c>
      <c r="AR37">
        <v>125.00000000060516</v>
      </c>
      <c r="AS37">
        <v>2</v>
      </c>
      <c r="AT37">
        <v>3</v>
      </c>
      <c r="AU37">
        <v>2</v>
      </c>
      <c r="AV37">
        <v>339</v>
      </c>
      <c r="AW37">
        <v>186.50975584983826</v>
      </c>
      <c r="AX37">
        <v>185.76668800000334</v>
      </c>
      <c r="AY37">
        <v>126.58900997240066</v>
      </c>
      <c r="AZ37">
        <v>125.0001790819704</v>
      </c>
      <c r="BA37">
        <v>2</v>
      </c>
      <c r="BB37">
        <v>4</v>
      </c>
      <c r="BC37">
        <v>3</v>
      </c>
      <c r="BD37">
        <v>992</v>
      </c>
      <c r="BE37">
        <v>727.71996521949768</v>
      </c>
      <c r="BF37">
        <v>724.62371400000848</v>
      </c>
      <c r="BG37">
        <v>134.99999999628415</v>
      </c>
      <c r="BH37">
        <v>125.00000000018301</v>
      </c>
      <c r="BI37">
        <v>2</v>
      </c>
      <c r="BJ37">
        <v>5</v>
      </c>
      <c r="BK37">
        <v>2</v>
      </c>
      <c r="BL37">
        <v>383</v>
      </c>
      <c r="BM37">
        <v>352.85745215415955</v>
      </c>
      <c r="BN37">
        <v>351.54076599999826</v>
      </c>
      <c r="BO37">
        <v>134.98422290219528</v>
      </c>
      <c r="BP37">
        <v>125.00422793433466</v>
      </c>
      <c r="BQ37">
        <v>3</v>
      </c>
      <c r="BR37">
        <v>3</v>
      </c>
      <c r="BS37">
        <v>2</v>
      </c>
      <c r="BT37">
        <v>1966</v>
      </c>
      <c r="BU37">
        <v>1360.441890001297</v>
      </c>
      <c r="BV37">
        <v>1354.6916899999924</v>
      </c>
      <c r="BW37">
        <v>125.02995011862103</v>
      </c>
      <c r="BX37">
        <v>125.01467954907122</v>
      </c>
      <c r="BY37">
        <v>125.00005225928734</v>
      </c>
      <c r="BZ37">
        <v>3</v>
      </c>
      <c r="CA37">
        <v>4</v>
      </c>
      <c r="CB37">
        <v>2</v>
      </c>
      <c r="CC37">
        <v>909</v>
      </c>
      <c r="CD37">
        <v>838.64820694923401</v>
      </c>
      <c r="CE37">
        <v>835.04515099999844</v>
      </c>
      <c r="CF37">
        <v>125.41829270520745</v>
      </c>
      <c r="CG37">
        <v>125.29957341909756</v>
      </c>
      <c r="CH37">
        <v>125.02795439233842</v>
      </c>
      <c r="CI37">
        <v>3</v>
      </c>
      <c r="CJ37">
        <v>5</v>
      </c>
      <c r="CK37">
        <v>2</v>
      </c>
      <c r="CL37">
        <v>387</v>
      </c>
      <c r="CM37">
        <v>448.14959597587585</v>
      </c>
      <c r="CN37">
        <v>446.65337700000237</v>
      </c>
      <c r="CO37">
        <v>128.90762239212074</v>
      </c>
      <c r="CP37">
        <v>128.86103394125729</v>
      </c>
      <c r="CQ37">
        <v>125.00243177745776</v>
      </c>
    </row>
    <row r="38" spans="1:95" s="8" customFormat="1" x14ac:dyDescent="0.35">
      <c r="A38">
        <v>1037</v>
      </c>
      <c r="B38">
        <v>1</v>
      </c>
      <c r="C38">
        <v>1</v>
      </c>
      <c r="D38">
        <v>3</v>
      </c>
      <c r="E38">
        <v>107</v>
      </c>
      <c r="F38">
        <v>15.163259983062744</v>
      </c>
      <c r="G38">
        <v>15.140141999996558</v>
      </c>
      <c r="H38">
        <v>125.00000000022335</v>
      </c>
      <c r="I38">
        <v>1</v>
      </c>
      <c r="J38">
        <v>2</v>
      </c>
      <c r="K38">
        <v>3</v>
      </c>
      <c r="L38">
        <v>1138</v>
      </c>
      <c r="M38">
        <v>315.06531500816345</v>
      </c>
      <c r="N38">
        <v>313.81741399999737</v>
      </c>
      <c r="O38">
        <v>125.00000000013529</v>
      </c>
      <c r="P38">
        <v>1</v>
      </c>
      <c r="Q38">
        <v>3</v>
      </c>
      <c r="R38">
        <v>2</v>
      </c>
      <c r="S38">
        <v>379</v>
      </c>
      <c r="T38">
        <v>157.82630085945129</v>
      </c>
      <c r="U38">
        <v>157.25360999999975</v>
      </c>
      <c r="V38">
        <v>125.00714204382501</v>
      </c>
      <c r="W38">
        <v>1</v>
      </c>
      <c r="X38">
        <v>4</v>
      </c>
      <c r="Y38">
        <v>2</v>
      </c>
      <c r="Z38">
        <v>489</v>
      </c>
      <c r="AA38">
        <v>268.52741408348083</v>
      </c>
      <c r="AB38">
        <v>267.77990800000407</v>
      </c>
      <c r="AC38">
        <v>125.00599155895029</v>
      </c>
      <c r="AD38">
        <v>1</v>
      </c>
      <c r="AE38">
        <v>5</v>
      </c>
      <c r="AF38">
        <v>2</v>
      </c>
      <c r="AG38">
        <v>618</v>
      </c>
      <c r="AH38">
        <v>424.57102108001709</v>
      </c>
      <c r="AI38">
        <v>423.46460799999477</v>
      </c>
      <c r="AJ38">
        <v>125.00599155895038</v>
      </c>
      <c r="AK38">
        <v>2</v>
      </c>
      <c r="AL38">
        <v>2</v>
      </c>
      <c r="AM38">
        <v>3</v>
      </c>
      <c r="AN38">
        <v>759</v>
      </c>
      <c r="AO38">
        <v>278.29353904724121</v>
      </c>
      <c r="AP38">
        <v>277.45049299999664</v>
      </c>
      <c r="AQ38">
        <v>125.04537894518424</v>
      </c>
      <c r="AR38">
        <v>125.00665066411321</v>
      </c>
      <c r="AS38">
        <v>2</v>
      </c>
      <c r="AT38">
        <v>3</v>
      </c>
      <c r="AU38">
        <v>3</v>
      </c>
      <c r="AV38">
        <v>686</v>
      </c>
      <c r="AW38">
        <v>376.80143594741821</v>
      </c>
      <c r="AX38">
        <v>375.34273399999802</v>
      </c>
      <c r="AY38">
        <v>125.00000000027258</v>
      </c>
      <c r="AZ38">
        <v>125.00000000007657</v>
      </c>
      <c r="BA38">
        <v>2</v>
      </c>
      <c r="BB38">
        <v>4</v>
      </c>
      <c r="BC38">
        <v>2</v>
      </c>
      <c r="BD38">
        <v>379</v>
      </c>
      <c r="BE38">
        <v>279.87297511100769</v>
      </c>
      <c r="BF38">
        <v>278.92123900000297</v>
      </c>
      <c r="BG38">
        <v>125.00714204382501</v>
      </c>
      <c r="BH38">
        <v>125.00013513593798</v>
      </c>
      <c r="BI38">
        <v>2</v>
      </c>
      <c r="BJ38">
        <v>5</v>
      </c>
      <c r="BK38">
        <v>2</v>
      </c>
      <c r="BL38">
        <v>384</v>
      </c>
      <c r="BM38">
        <v>352.13995981216431</v>
      </c>
      <c r="BN38">
        <v>350.67961900000228</v>
      </c>
      <c r="BO38">
        <v>125.00093532225975</v>
      </c>
      <c r="BP38">
        <v>125.00008437481812</v>
      </c>
      <c r="BQ38">
        <v>3</v>
      </c>
      <c r="BR38">
        <v>3</v>
      </c>
      <c r="BS38">
        <v>2</v>
      </c>
      <c r="BT38">
        <v>363</v>
      </c>
      <c r="BU38">
        <v>249.64955282211304</v>
      </c>
      <c r="BV38">
        <v>248.84686499999225</v>
      </c>
      <c r="BW38">
        <v>125.01110407711002</v>
      </c>
      <c r="BX38">
        <v>126.66801229909888</v>
      </c>
      <c r="BY38">
        <v>127.2436480855748</v>
      </c>
      <c r="BZ38">
        <v>3</v>
      </c>
      <c r="CA38">
        <v>4</v>
      </c>
      <c r="CB38">
        <v>2</v>
      </c>
      <c r="CC38">
        <v>554</v>
      </c>
      <c r="CD38">
        <v>506.81294798851013</v>
      </c>
      <c r="CE38">
        <v>504.64891599999828</v>
      </c>
      <c r="CF38">
        <v>125.00024286425918</v>
      </c>
      <c r="CG38">
        <v>125.00013193217035</v>
      </c>
      <c r="CH38">
        <v>125.00020069434323</v>
      </c>
      <c r="CI38">
        <v>3</v>
      </c>
      <c r="CJ38">
        <v>5</v>
      </c>
      <c r="CK38">
        <v>2</v>
      </c>
      <c r="CL38">
        <v>769</v>
      </c>
      <c r="CM38">
        <v>880.49766087532043</v>
      </c>
      <c r="CN38">
        <v>876.5664009999964</v>
      </c>
      <c r="CO38">
        <v>125.00049495929908</v>
      </c>
      <c r="CP38">
        <v>125.00011311592768</v>
      </c>
      <c r="CQ38">
        <v>125.00008489969636</v>
      </c>
    </row>
    <row r="39" spans="1:95" s="8" customFormat="1" x14ac:dyDescent="0.35">
      <c r="A39">
        <v>1038</v>
      </c>
      <c r="B39">
        <v>1</v>
      </c>
      <c r="C39">
        <v>1</v>
      </c>
      <c r="D39">
        <v>3</v>
      </c>
      <c r="E39">
        <v>264</v>
      </c>
      <c r="F39">
        <v>35.92231822013855</v>
      </c>
      <c r="G39">
        <v>35.801605999993626</v>
      </c>
      <c r="H39">
        <v>125.00000000004495</v>
      </c>
      <c r="I39">
        <v>1</v>
      </c>
      <c r="J39">
        <v>2</v>
      </c>
      <c r="K39">
        <v>3</v>
      </c>
      <c r="L39">
        <v>399</v>
      </c>
      <c r="M39">
        <v>106.36808800697327</v>
      </c>
      <c r="N39">
        <v>105.96044500000426</v>
      </c>
      <c r="O39">
        <v>125.00000000001351</v>
      </c>
      <c r="P39">
        <v>1</v>
      </c>
      <c r="Q39">
        <v>3</v>
      </c>
      <c r="R39">
        <v>3</v>
      </c>
      <c r="S39">
        <v>587</v>
      </c>
      <c r="T39">
        <v>238.0423059463501</v>
      </c>
      <c r="U39">
        <v>237.19166099999711</v>
      </c>
      <c r="V39">
        <v>125.00000000003628</v>
      </c>
      <c r="W39">
        <v>1</v>
      </c>
      <c r="X39">
        <v>4</v>
      </c>
      <c r="Y39">
        <v>5</v>
      </c>
      <c r="Z39">
        <v>1856</v>
      </c>
      <c r="AA39">
        <v>997.39192008972168</v>
      </c>
      <c r="AB39">
        <v>993.03111900000658</v>
      </c>
      <c r="AC39">
        <v>130.17590706219676</v>
      </c>
      <c r="AD39">
        <v>1</v>
      </c>
      <c r="AE39">
        <v>5</v>
      </c>
      <c r="AF39">
        <v>4</v>
      </c>
      <c r="AG39">
        <v>1855</v>
      </c>
      <c r="AH39">
        <v>1256.3872420787811</v>
      </c>
      <c r="AI39">
        <v>1251.1734759999963</v>
      </c>
      <c r="AJ39">
        <v>130.07052500274932</v>
      </c>
      <c r="AK39">
        <v>2</v>
      </c>
      <c r="AL39">
        <v>2</v>
      </c>
      <c r="AM39">
        <v>3</v>
      </c>
      <c r="AN39">
        <v>430</v>
      </c>
      <c r="AO39">
        <v>152.5994758605957</v>
      </c>
      <c r="AP39">
        <v>151.97610700000951</v>
      </c>
      <c r="AQ39">
        <v>125.00000000021335</v>
      </c>
      <c r="AR39">
        <v>134.99999999911992</v>
      </c>
      <c r="AS39">
        <v>2</v>
      </c>
      <c r="AT39">
        <v>3</v>
      </c>
      <c r="AU39">
        <v>3</v>
      </c>
      <c r="AV39">
        <v>444</v>
      </c>
      <c r="AW39">
        <v>235.57899498939514</v>
      </c>
      <c r="AX39">
        <v>234.80048299999908</v>
      </c>
      <c r="AY39">
        <v>125.00000000018777</v>
      </c>
      <c r="AZ39">
        <v>134.99999999988765</v>
      </c>
      <c r="BA39">
        <v>2</v>
      </c>
      <c r="BB39">
        <v>4</v>
      </c>
      <c r="BC39">
        <v>3</v>
      </c>
      <c r="BD39">
        <v>1757</v>
      </c>
      <c r="BE39">
        <v>1253.641587972641</v>
      </c>
      <c r="BF39">
        <v>1248.4846729999917</v>
      </c>
      <c r="BG39">
        <v>134.99999999954221</v>
      </c>
      <c r="BH39">
        <v>134.99999999977129</v>
      </c>
      <c r="BI39">
        <v>2</v>
      </c>
      <c r="BJ39">
        <v>5</v>
      </c>
      <c r="BK39">
        <v>3</v>
      </c>
      <c r="BL39">
        <v>1676</v>
      </c>
      <c r="BM39">
        <v>1519.4099490642548</v>
      </c>
      <c r="BN39">
        <v>1513.3960139999981</v>
      </c>
      <c r="BO39">
        <v>125.00000000042304</v>
      </c>
      <c r="BP39">
        <v>125.00000000014863</v>
      </c>
      <c r="BQ39">
        <v>3</v>
      </c>
      <c r="BR39">
        <v>3</v>
      </c>
      <c r="BS39">
        <v>3</v>
      </c>
      <c r="BT39">
        <v>3057</v>
      </c>
      <c r="BU39">
        <v>2060.546245098114</v>
      </c>
      <c r="BV39">
        <v>2051.8048570000028</v>
      </c>
      <c r="BW39">
        <v>125.00000000006533</v>
      </c>
      <c r="BX39">
        <v>125.00000000008137</v>
      </c>
      <c r="BY39">
        <v>125.00000000013907</v>
      </c>
      <c r="BZ39">
        <v>3</v>
      </c>
      <c r="CA39">
        <v>4</v>
      </c>
      <c r="CB39">
        <v>3</v>
      </c>
      <c r="CC39">
        <v>3370</v>
      </c>
      <c r="CD39">
        <v>3044.1543898582458</v>
      </c>
      <c r="CE39">
        <v>3032.4170370000065</v>
      </c>
      <c r="CF39">
        <v>125.00000000039242</v>
      </c>
      <c r="CG39">
        <v>125.0000000004339</v>
      </c>
      <c r="CH39">
        <v>125.0000000003531</v>
      </c>
      <c r="CI39">
        <v>3</v>
      </c>
      <c r="CJ39">
        <v>5</v>
      </c>
      <c r="CK39">
        <v>3</v>
      </c>
      <c r="CL39">
        <v>1248</v>
      </c>
      <c r="CM39">
        <v>1402.1800291538239</v>
      </c>
      <c r="CN39">
        <v>1396.6259759999957</v>
      </c>
      <c r="CO39">
        <v>134.99999999957049</v>
      </c>
      <c r="CP39">
        <v>134.99999999908573</v>
      </c>
      <c r="CQ39">
        <v>125.00000000031322</v>
      </c>
    </row>
    <row r="40" spans="1:95" s="8" customFormat="1" x14ac:dyDescent="0.35">
      <c r="A40">
        <v>1039</v>
      </c>
      <c r="B40">
        <v>1</v>
      </c>
      <c r="C40">
        <v>1</v>
      </c>
      <c r="D40">
        <v>3</v>
      </c>
      <c r="E40">
        <v>178</v>
      </c>
      <c r="F40">
        <v>25.291446924209595</v>
      </c>
      <c r="G40">
        <v>25.264521999997669</v>
      </c>
      <c r="H40">
        <v>125.00000000010338</v>
      </c>
      <c r="I40">
        <v>1</v>
      </c>
      <c r="J40">
        <v>2</v>
      </c>
      <c r="K40">
        <v>2</v>
      </c>
      <c r="L40">
        <v>346</v>
      </c>
      <c r="M40">
        <v>97.022496938705444</v>
      </c>
      <c r="N40">
        <v>96.724847999998019</v>
      </c>
      <c r="O40">
        <v>125.00118991926695</v>
      </c>
      <c r="P40">
        <v>1</v>
      </c>
      <c r="Q40">
        <v>3</v>
      </c>
      <c r="R40">
        <v>2</v>
      </c>
      <c r="S40">
        <v>419</v>
      </c>
      <c r="T40">
        <v>175.42184996604919</v>
      </c>
      <c r="U40">
        <v>174.85472299999674</v>
      </c>
      <c r="V40">
        <v>125.00118991926695</v>
      </c>
      <c r="W40">
        <v>1</v>
      </c>
      <c r="X40">
        <v>4</v>
      </c>
      <c r="Y40">
        <v>2</v>
      </c>
      <c r="Z40">
        <v>378</v>
      </c>
      <c r="AA40">
        <v>210.42198491096497</v>
      </c>
      <c r="AB40">
        <v>209.8155870000046</v>
      </c>
      <c r="AC40">
        <v>125.00118991926695</v>
      </c>
      <c r="AD40">
        <v>1</v>
      </c>
      <c r="AE40">
        <v>5</v>
      </c>
      <c r="AF40">
        <v>2</v>
      </c>
      <c r="AG40">
        <v>329</v>
      </c>
      <c r="AH40">
        <v>229.17044711112976</v>
      </c>
      <c r="AI40">
        <v>228.08059800000046</v>
      </c>
      <c r="AJ40">
        <v>125.00414770694863</v>
      </c>
      <c r="AK40">
        <v>2</v>
      </c>
      <c r="AL40">
        <v>2</v>
      </c>
      <c r="AM40">
        <v>3</v>
      </c>
      <c r="AN40">
        <v>254</v>
      </c>
      <c r="AO40">
        <v>94.159360885620117</v>
      </c>
      <c r="AP40">
        <v>93.911978000003728</v>
      </c>
      <c r="AQ40">
        <v>125.00000000008644</v>
      </c>
      <c r="AR40">
        <v>125.00000000016557</v>
      </c>
      <c r="AS40">
        <v>2</v>
      </c>
      <c r="AT40">
        <v>3</v>
      </c>
      <c r="AU40">
        <v>2</v>
      </c>
      <c r="AV40">
        <v>505</v>
      </c>
      <c r="AW40">
        <v>281.21245908737183</v>
      </c>
      <c r="AX40">
        <v>280.19851099999505</v>
      </c>
      <c r="AY40">
        <v>125.00118991926695</v>
      </c>
      <c r="AZ40">
        <v>125.00136410460387</v>
      </c>
      <c r="BA40">
        <v>2</v>
      </c>
      <c r="BB40">
        <v>4</v>
      </c>
      <c r="BC40">
        <v>2</v>
      </c>
      <c r="BD40">
        <v>392</v>
      </c>
      <c r="BE40">
        <v>290.54603600502014</v>
      </c>
      <c r="BF40">
        <v>289.5737150000059</v>
      </c>
      <c r="BG40">
        <v>127.72517799438464</v>
      </c>
      <c r="BH40">
        <v>125.00404148557378</v>
      </c>
      <c r="BI40">
        <v>2</v>
      </c>
      <c r="BJ40">
        <v>5</v>
      </c>
      <c r="BK40">
        <v>2</v>
      </c>
      <c r="BL40">
        <v>485</v>
      </c>
      <c r="BM40">
        <v>449.68271088600159</v>
      </c>
      <c r="BN40">
        <v>447.99369299999671</v>
      </c>
      <c r="BO40">
        <v>128.45210867747807</v>
      </c>
      <c r="BP40">
        <v>125.00009858446363</v>
      </c>
      <c r="BQ40">
        <v>3</v>
      </c>
      <c r="BR40">
        <v>3</v>
      </c>
      <c r="BS40">
        <v>3</v>
      </c>
      <c r="BT40">
        <v>3051</v>
      </c>
      <c r="BU40">
        <v>2129.3433399200439</v>
      </c>
      <c r="BV40">
        <v>2121.1332499999844</v>
      </c>
      <c r="BW40">
        <v>125.00000000007509</v>
      </c>
      <c r="BX40">
        <v>125.00000000012342</v>
      </c>
      <c r="BY40">
        <v>125.0000000002137</v>
      </c>
      <c r="BZ40">
        <v>3</v>
      </c>
      <c r="CA40">
        <v>4</v>
      </c>
      <c r="CB40">
        <v>2</v>
      </c>
      <c r="CC40">
        <v>353</v>
      </c>
      <c r="CD40">
        <v>327.41468906402588</v>
      </c>
      <c r="CE40">
        <v>325.97763900000427</v>
      </c>
      <c r="CF40">
        <v>125.00013885037622</v>
      </c>
      <c r="CG40">
        <v>125.0152715885624</v>
      </c>
      <c r="CH40">
        <v>125.0000342934497</v>
      </c>
      <c r="CI40">
        <v>3</v>
      </c>
      <c r="CJ40">
        <v>5</v>
      </c>
      <c r="CK40">
        <v>2</v>
      </c>
      <c r="CL40">
        <v>346</v>
      </c>
      <c r="CM40">
        <v>399.07225108146667</v>
      </c>
      <c r="CN40">
        <v>397.61521299999731</v>
      </c>
      <c r="CO40">
        <v>127.67341975984522</v>
      </c>
      <c r="CP40">
        <v>127.41006587340809</v>
      </c>
      <c r="CQ40">
        <v>125.00267732604145</v>
      </c>
    </row>
    <row r="41" spans="1:95" s="8" customFormat="1" x14ac:dyDescent="0.35">
      <c r="A41">
        <v>1040</v>
      </c>
      <c r="B41">
        <v>1</v>
      </c>
      <c r="C41">
        <v>1</v>
      </c>
      <c r="D41">
        <v>3</v>
      </c>
      <c r="E41">
        <v>399</v>
      </c>
      <c r="F41">
        <v>55.73636794090271</v>
      </c>
      <c r="G41">
        <v>55.581097999995109</v>
      </c>
      <c r="H41">
        <v>125.00000000002976</v>
      </c>
      <c r="I41">
        <v>1</v>
      </c>
      <c r="J41">
        <v>2</v>
      </c>
      <c r="K41">
        <v>3</v>
      </c>
      <c r="L41">
        <v>84</v>
      </c>
      <c r="M41">
        <v>23.36510705947876</v>
      </c>
      <c r="N41">
        <v>23.36587999999756</v>
      </c>
      <c r="O41">
        <v>125.00000000003725</v>
      </c>
      <c r="P41">
        <v>1</v>
      </c>
      <c r="Q41">
        <v>3</v>
      </c>
      <c r="R41">
        <v>3</v>
      </c>
      <c r="S41">
        <v>265</v>
      </c>
      <c r="T41">
        <v>110.10629200935364</v>
      </c>
      <c r="U41">
        <v>109.81157499999972</v>
      </c>
      <c r="V41">
        <v>125.00000000004516</v>
      </c>
      <c r="W41">
        <v>1</v>
      </c>
      <c r="X41">
        <v>4</v>
      </c>
      <c r="Y41">
        <v>2</v>
      </c>
      <c r="Z41">
        <v>419</v>
      </c>
      <c r="AA41">
        <v>231.27568697929382</v>
      </c>
      <c r="AB41">
        <v>230.43253499998536</v>
      </c>
      <c r="AC41">
        <v>125.00998872653969</v>
      </c>
      <c r="AD41">
        <v>1</v>
      </c>
      <c r="AE41">
        <v>5</v>
      </c>
      <c r="AF41">
        <v>2</v>
      </c>
      <c r="AG41">
        <v>429</v>
      </c>
      <c r="AH41">
        <v>295.89176201820374</v>
      </c>
      <c r="AI41">
        <v>294.94383999999263</v>
      </c>
      <c r="AJ41">
        <v>125.00998872653969</v>
      </c>
      <c r="AK41">
        <v>2</v>
      </c>
      <c r="AL41">
        <v>2</v>
      </c>
      <c r="AM41">
        <v>3</v>
      </c>
      <c r="AN41">
        <v>187</v>
      </c>
      <c r="AO41">
        <v>68.835732936859131</v>
      </c>
      <c r="AP41">
        <v>68.611082999996142</v>
      </c>
      <c r="AQ41">
        <v>125.00000000002628</v>
      </c>
      <c r="AR41">
        <v>125.0000000001174</v>
      </c>
      <c r="AS41">
        <v>2</v>
      </c>
      <c r="AT41">
        <v>3</v>
      </c>
      <c r="AU41">
        <v>3</v>
      </c>
      <c r="AV41">
        <v>190</v>
      </c>
      <c r="AW41">
        <v>104.91695880889893</v>
      </c>
      <c r="AX41">
        <v>104.57862800000294</v>
      </c>
      <c r="AY41">
        <v>125.00000000003902</v>
      </c>
      <c r="AZ41">
        <v>125.00000000006936</v>
      </c>
      <c r="BA41">
        <v>2</v>
      </c>
      <c r="BB41">
        <v>4</v>
      </c>
      <c r="BC41">
        <v>3</v>
      </c>
      <c r="BD41">
        <v>390</v>
      </c>
      <c r="BE41">
        <v>287.03830218315125</v>
      </c>
      <c r="BF41">
        <v>285.89651800000865</v>
      </c>
      <c r="BG41">
        <v>125.00000000005896</v>
      </c>
      <c r="BH41">
        <v>125.00000000006285</v>
      </c>
      <c r="BI41">
        <v>2</v>
      </c>
      <c r="BJ41">
        <v>5</v>
      </c>
      <c r="BK41">
        <v>2</v>
      </c>
      <c r="BL41">
        <v>386</v>
      </c>
      <c r="BM41">
        <v>356.61061000823975</v>
      </c>
      <c r="BN41">
        <v>355.22832100000232</v>
      </c>
      <c r="BO41">
        <v>128.26205226573987</v>
      </c>
      <c r="BP41">
        <v>125.00253236059906</v>
      </c>
      <c r="BQ41">
        <v>3</v>
      </c>
      <c r="BR41">
        <v>3</v>
      </c>
      <c r="BS41">
        <v>3</v>
      </c>
      <c r="BT41">
        <v>364</v>
      </c>
      <c r="BU41">
        <v>252.33151006698608</v>
      </c>
      <c r="BV41">
        <v>251.41584599998896</v>
      </c>
      <c r="BW41">
        <v>125.00000000002599</v>
      </c>
      <c r="BX41">
        <v>125.00000000009076</v>
      </c>
      <c r="BY41">
        <v>125.00000000009429</v>
      </c>
      <c r="BZ41">
        <v>3</v>
      </c>
      <c r="CA41">
        <v>4</v>
      </c>
      <c r="CB41">
        <v>3</v>
      </c>
      <c r="CC41">
        <v>898</v>
      </c>
      <c r="CD41">
        <v>826.44462394714355</v>
      </c>
      <c r="CE41">
        <v>822.85394300000917</v>
      </c>
      <c r="CF41">
        <v>125.00000000003931</v>
      </c>
      <c r="CG41">
        <v>125.00000000012824</v>
      </c>
      <c r="CH41">
        <v>125.00000000006202</v>
      </c>
      <c r="CI41">
        <v>3</v>
      </c>
      <c r="CJ41">
        <v>5</v>
      </c>
      <c r="CK41">
        <v>2</v>
      </c>
      <c r="CL41">
        <v>402</v>
      </c>
      <c r="CM41">
        <v>465.10821104049683</v>
      </c>
      <c r="CN41">
        <v>463.34763200000452</v>
      </c>
      <c r="CO41">
        <v>127.78519234510998</v>
      </c>
      <c r="CP41">
        <v>127.64243305762291</v>
      </c>
      <c r="CQ41">
        <v>125.04126915109759</v>
      </c>
    </row>
    <row r="42" spans="1:95" s="8" customFormat="1" x14ac:dyDescent="0.35">
      <c r="A42">
        <v>1041</v>
      </c>
      <c r="B42">
        <v>1</v>
      </c>
      <c r="C42">
        <v>1</v>
      </c>
      <c r="D42">
        <v>2</v>
      </c>
      <c r="E42">
        <v>370</v>
      </c>
      <c r="F42">
        <v>96.494324922561646</v>
      </c>
      <c r="G42">
        <v>91.739517999999975</v>
      </c>
      <c r="H42">
        <v>125.02121996290411</v>
      </c>
      <c r="I42">
        <v>1</v>
      </c>
      <c r="J42">
        <v>2</v>
      </c>
      <c r="K42">
        <v>2</v>
      </c>
      <c r="L42">
        <v>395</v>
      </c>
      <c r="M42">
        <v>155.1329448223114</v>
      </c>
      <c r="N42">
        <v>154.36441799999989</v>
      </c>
      <c r="O42">
        <v>125.01813679005946</v>
      </c>
      <c r="P42">
        <v>1</v>
      </c>
      <c r="Q42">
        <v>3</v>
      </c>
      <c r="R42">
        <v>2</v>
      </c>
      <c r="S42">
        <v>790</v>
      </c>
      <c r="T42">
        <v>464.6496250629425</v>
      </c>
      <c r="U42">
        <v>456.86769200000026</v>
      </c>
      <c r="V42">
        <v>125.02052576011538</v>
      </c>
      <c r="W42">
        <v>1</v>
      </c>
      <c r="X42">
        <v>4</v>
      </c>
      <c r="Y42">
        <v>2</v>
      </c>
      <c r="Z42">
        <v>389</v>
      </c>
      <c r="AA42">
        <v>312.65473198890686</v>
      </c>
      <c r="AB42">
        <v>306.5142109999997</v>
      </c>
      <c r="AC42">
        <v>125.01813679005946</v>
      </c>
      <c r="AD42">
        <v>1</v>
      </c>
      <c r="AE42">
        <v>5</v>
      </c>
      <c r="AF42">
        <v>2</v>
      </c>
      <c r="AG42">
        <v>549</v>
      </c>
      <c r="AH42">
        <v>530.81512403488159</v>
      </c>
      <c r="AI42">
        <v>527.64545999999973</v>
      </c>
      <c r="AJ42">
        <v>125.08486319725645</v>
      </c>
      <c r="AK42">
        <v>2</v>
      </c>
      <c r="AL42">
        <v>2</v>
      </c>
      <c r="AM42">
        <v>2</v>
      </c>
      <c r="AN42">
        <v>412</v>
      </c>
      <c r="AO42">
        <v>214.1992359161377</v>
      </c>
      <c r="AP42">
        <v>212.97191599999996</v>
      </c>
      <c r="AQ42">
        <v>125.00243932860019</v>
      </c>
      <c r="AR42">
        <v>127.12832982147653</v>
      </c>
      <c r="AS42">
        <v>2</v>
      </c>
      <c r="AT42">
        <v>3</v>
      </c>
      <c r="AU42">
        <v>2</v>
      </c>
      <c r="AV42">
        <v>368</v>
      </c>
      <c r="AW42">
        <v>285.91967701911926</v>
      </c>
      <c r="AX42">
        <v>283.93273200000021</v>
      </c>
      <c r="AY42">
        <v>125.0049339419637</v>
      </c>
      <c r="AZ42">
        <v>125.00020187038314</v>
      </c>
      <c r="BA42">
        <v>2</v>
      </c>
      <c r="BB42">
        <v>4</v>
      </c>
      <c r="BC42">
        <v>2</v>
      </c>
      <c r="BD42">
        <v>451</v>
      </c>
      <c r="BE42">
        <v>462.96017408370972</v>
      </c>
      <c r="BF42">
        <v>460.1637340000002</v>
      </c>
      <c r="BG42">
        <v>125.34733950572344</v>
      </c>
      <c r="BH42">
        <v>125.00000255214573</v>
      </c>
      <c r="BI42">
        <v>2</v>
      </c>
      <c r="BJ42">
        <v>5</v>
      </c>
      <c r="BK42">
        <v>2</v>
      </c>
      <c r="BL42">
        <v>476</v>
      </c>
      <c r="BM42">
        <v>603.85613393783569</v>
      </c>
      <c r="BN42">
        <v>600.17267700000002</v>
      </c>
      <c r="BO42">
        <v>128.1600818747923</v>
      </c>
      <c r="BP42">
        <v>125.00032821874834</v>
      </c>
      <c r="BQ42">
        <v>3</v>
      </c>
      <c r="BR42">
        <v>3</v>
      </c>
      <c r="BS42">
        <v>2</v>
      </c>
      <c r="BT42">
        <v>423</v>
      </c>
      <c r="BU42">
        <v>402.02459502220154</v>
      </c>
      <c r="BV42">
        <v>399.42225599999938</v>
      </c>
      <c r="BW42">
        <v>125.14800095630827</v>
      </c>
      <c r="BX42">
        <v>127.25917224790024</v>
      </c>
      <c r="BY42">
        <v>127.67965392629382</v>
      </c>
      <c r="BZ42">
        <v>3</v>
      </c>
      <c r="CA42">
        <v>4</v>
      </c>
      <c r="CB42">
        <v>2</v>
      </c>
      <c r="CC42">
        <v>370</v>
      </c>
      <c r="CD42">
        <v>454.94940805435181</v>
      </c>
      <c r="CE42">
        <v>452.48373999999967</v>
      </c>
      <c r="CF42">
        <v>125.76336918533416</v>
      </c>
      <c r="CG42">
        <v>127.00544948319077</v>
      </c>
      <c r="CH42">
        <v>125.00008597161596</v>
      </c>
      <c r="CI42">
        <v>3</v>
      </c>
      <c r="CJ42">
        <v>5</v>
      </c>
      <c r="CK42">
        <v>2</v>
      </c>
      <c r="CL42">
        <v>575</v>
      </c>
      <c r="CM42">
        <v>920.59155201911926</v>
      </c>
      <c r="CN42">
        <v>914.27236400000038</v>
      </c>
      <c r="CO42">
        <v>125.00181698723532</v>
      </c>
      <c r="CP42">
        <v>125.00599662727195</v>
      </c>
      <c r="CQ42">
        <v>125.00013900828371</v>
      </c>
    </row>
    <row r="43" spans="1:95" s="8" customFormat="1" x14ac:dyDescent="0.35">
      <c r="A43">
        <v>1042</v>
      </c>
      <c r="B43">
        <v>1</v>
      </c>
      <c r="C43">
        <v>1</v>
      </c>
      <c r="D43">
        <v>3</v>
      </c>
      <c r="E43">
        <v>273</v>
      </c>
      <c r="F43">
        <v>51.391861200332642</v>
      </c>
      <c r="G43">
        <v>51.070501000000149</v>
      </c>
      <c r="H43">
        <v>125.00000000005925</v>
      </c>
      <c r="I43">
        <v>1</v>
      </c>
      <c r="J43">
        <v>2</v>
      </c>
      <c r="K43">
        <v>3</v>
      </c>
      <c r="L43">
        <v>316</v>
      </c>
      <c r="M43">
        <v>118.31903290748596</v>
      </c>
      <c r="N43">
        <v>117.82585600000129</v>
      </c>
      <c r="O43">
        <v>125.00000000006352</v>
      </c>
      <c r="P43">
        <v>1</v>
      </c>
      <c r="Q43">
        <v>3</v>
      </c>
      <c r="R43">
        <v>3</v>
      </c>
      <c r="S43">
        <v>5809</v>
      </c>
      <c r="T43">
        <v>3416.7297630310059</v>
      </c>
      <c r="U43">
        <v>3387.0938649999989</v>
      </c>
      <c r="V43">
        <v>125.00000000008173</v>
      </c>
      <c r="W43">
        <v>1</v>
      </c>
      <c r="X43">
        <v>4</v>
      </c>
      <c r="Y43">
        <v>3</v>
      </c>
      <c r="Z43">
        <v>350</v>
      </c>
      <c r="AA43">
        <v>360.22541785240173</v>
      </c>
      <c r="AB43">
        <v>355.03048099999978</v>
      </c>
      <c r="AC43">
        <v>125.00000000010812</v>
      </c>
      <c r="AD43">
        <v>1</v>
      </c>
      <c r="AE43">
        <v>5</v>
      </c>
      <c r="AF43">
        <v>3</v>
      </c>
      <c r="AG43">
        <v>111</v>
      </c>
      <c r="AH43">
        <v>122.05821013450623</v>
      </c>
      <c r="AI43">
        <v>119.24119400000018</v>
      </c>
      <c r="AJ43">
        <v>125.00000000014624</v>
      </c>
      <c r="AK43">
        <v>2</v>
      </c>
      <c r="AL43">
        <v>2</v>
      </c>
      <c r="AM43">
        <v>3</v>
      </c>
      <c r="AN43">
        <v>338</v>
      </c>
      <c r="AO43">
        <v>177.35567808151245</v>
      </c>
      <c r="AP43">
        <v>176.40360999999939</v>
      </c>
      <c r="AQ43">
        <v>125.00000000004768</v>
      </c>
      <c r="AR43">
        <v>125.00000000009557</v>
      </c>
      <c r="AS43">
        <v>2</v>
      </c>
      <c r="AT43">
        <v>3</v>
      </c>
      <c r="AU43">
        <v>3</v>
      </c>
      <c r="AV43">
        <v>333</v>
      </c>
      <c r="AW43">
        <v>291.34938907623291</v>
      </c>
      <c r="AX43">
        <v>286.38657700000113</v>
      </c>
      <c r="AY43">
        <v>125.00000000007692</v>
      </c>
      <c r="AZ43">
        <v>125.00000000008782</v>
      </c>
      <c r="BA43">
        <v>2</v>
      </c>
      <c r="BB43">
        <v>4</v>
      </c>
      <c r="BC43">
        <v>2</v>
      </c>
      <c r="BD43">
        <v>483</v>
      </c>
      <c r="BE43">
        <v>613.82673788070679</v>
      </c>
      <c r="BF43">
        <v>603.84940800000186</v>
      </c>
      <c r="BG43">
        <v>127.34138766181084</v>
      </c>
      <c r="BH43">
        <v>125.01437672653805</v>
      </c>
      <c r="BI43">
        <v>2</v>
      </c>
      <c r="BJ43">
        <v>5</v>
      </c>
      <c r="BK43">
        <v>2</v>
      </c>
      <c r="BL43">
        <v>466</v>
      </c>
      <c r="BM43">
        <v>642.37870097160339</v>
      </c>
      <c r="BN43">
        <v>631.99679500000093</v>
      </c>
      <c r="BO43">
        <v>128.1591349925335</v>
      </c>
      <c r="BP43">
        <v>125.01524678144739</v>
      </c>
      <c r="BQ43">
        <v>3</v>
      </c>
      <c r="BR43">
        <v>3</v>
      </c>
      <c r="BS43">
        <v>2</v>
      </c>
      <c r="BT43">
        <v>433</v>
      </c>
      <c r="BU43">
        <v>458.91361999511719</v>
      </c>
      <c r="BV43">
        <v>449.70661799999834</v>
      </c>
      <c r="BW43">
        <v>125.00000444202909</v>
      </c>
      <c r="BX43">
        <v>125.00777324171939</v>
      </c>
      <c r="BY43">
        <v>125.00000082672234</v>
      </c>
      <c r="BZ43">
        <v>3</v>
      </c>
      <c r="CA43">
        <v>4</v>
      </c>
      <c r="CB43">
        <v>3</v>
      </c>
      <c r="CC43">
        <v>858</v>
      </c>
      <c r="CD43">
        <v>1288.9763948917389</v>
      </c>
      <c r="CE43">
        <v>1267.2930310000011</v>
      </c>
      <c r="CF43">
        <v>125.00000000008181</v>
      </c>
      <c r="CG43">
        <v>125.00000000011077</v>
      </c>
      <c r="CH43">
        <v>125.00000000015807</v>
      </c>
      <c r="CI43">
        <v>3</v>
      </c>
      <c r="CJ43">
        <v>5</v>
      </c>
      <c r="CK43">
        <v>2</v>
      </c>
      <c r="CL43">
        <v>490</v>
      </c>
      <c r="CM43">
        <v>860.49834895133972</v>
      </c>
      <c r="CN43">
        <v>844.33993399999963</v>
      </c>
      <c r="CO43">
        <v>125.00012596715104</v>
      </c>
      <c r="CP43">
        <v>125.00049514811359</v>
      </c>
      <c r="CQ43">
        <v>125.0438080107059</v>
      </c>
    </row>
    <row r="44" spans="1:95" s="8" customFormat="1" x14ac:dyDescent="0.35">
      <c r="A44">
        <v>1043</v>
      </c>
      <c r="B44">
        <v>1</v>
      </c>
      <c r="C44">
        <v>1</v>
      </c>
      <c r="D44">
        <v>2</v>
      </c>
      <c r="E44">
        <v>380</v>
      </c>
      <c r="F44">
        <v>83.471367120742798</v>
      </c>
      <c r="G44">
        <v>83.104119999999966</v>
      </c>
      <c r="H44">
        <v>125.00637853770561</v>
      </c>
      <c r="I44">
        <v>1</v>
      </c>
      <c r="J44">
        <v>2</v>
      </c>
      <c r="K44">
        <v>3</v>
      </c>
      <c r="L44">
        <v>1107</v>
      </c>
      <c r="M44">
        <v>482.40120100975037</v>
      </c>
      <c r="N44">
        <v>476.19768299999851</v>
      </c>
      <c r="O44">
        <v>125.00000000015548</v>
      </c>
      <c r="P44">
        <v>1</v>
      </c>
      <c r="Q44">
        <v>3</v>
      </c>
      <c r="R44">
        <v>3</v>
      </c>
      <c r="S44">
        <v>702</v>
      </c>
      <c r="T44">
        <v>535.96800208091736</v>
      </c>
      <c r="U44">
        <v>526.97948800000086</v>
      </c>
      <c r="V44">
        <v>125.00000000016018</v>
      </c>
      <c r="W44">
        <v>1</v>
      </c>
      <c r="X44">
        <v>4</v>
      </c>
      <c r="Y44">
        <v>2</v>
      </c>
      <c r="Z44">
        <v>264</v>
      </c>
      <c r="AA44">
        <v>270.75559186935425</v>
      </c>
      <c r="AB44">
        <v>266.26834899999812</v>
      </c>
      <c r="AC44">
        <v>125.00016667860038</v>
      </c>
      <c r="AD44">
        <v>1</v>
      </c>
      <c r="AE44">
        <v>5</v>
      </c>
      <c r="AF44">
        <v>3</v>
      </c>
      <c r="AG44">
        <v>1085</v>
      </c>
      <c r="AH44">
        <v>1284.5601778030396</v>
      </c>
      <c r="AI44">
        <v>1263.0563290000027</v>
      </c>
      <c r="AJ44">
        <v>125.00000000017114</v>
      </c>
      <c r="AK44">
        <v>2</v>
      </c>
      <c r="AL44">
        <v>2</v>
      </c>
      <c r="AM44">
        <v>2</v>
      </c>
      <c r="AN44">
        <v>399</v>
      </c>
      <c r="AO44">
        <v>288.3826208114624</v>
      </c>
      <c r="AP44">
        <v>284.2883490000022</v>
      </c>
      <c r="AQ44">
        <v>125.00637853770561</v>
      </c>
      <c r="AR44">
        <v>127.19259657706586</v>
      </c>
      <c r="AS44">
        <v>2</v>
      </c>
      <c r="AT44">
        <v>3</v>
      </c>
      <c r="AU44">
        <v>2</v>
      </c>
      <c r="AV44">
        <v>541</v>
      </c>
      <c r="AW44">
        <v>553.1826229095459</v>
      </c>
      <c r="AX44">
        <v>543.6475649999993</v>
      </c>
      <c r="AY44">
        <v>125.79623719328167</v>
      </c>
      <c r="AZ44">
        <v>125.00017910387358</v>
      </c>
      <c r="BA44">
        <v>2</v>
      </c>
      <c r="BB44">
        <v>4</v>
      </c>
      <c r="BC44">
        <v>2</v>
      </c>
      <c r="BD44">
        <v>684</v>
      </c>
      <c r="BE44">
        <v>885.61304092407227</v>
      </c>
      <c r="BF44">
        <v>870.20862200000192</v>
      </c>
      <c r="BG44">
        <v>127.40142984706502</v>
      </c>
      <c r="BH44">
        <v>125.00163600397255</v>
      </c>
      <c r="BI44">
        <v>2</v>
      </c>
      <c r="BJ44">
        <v>5</v>
      </c>
      <c r="BK44">
        <v>3</v>
      </c>
      <c r="BL44">
        <v>1210</v>
      </c>
      <c r="BM44">
        <v>1871.0651309490204</v>
      </c>
      <c r="BN44">
        <v>1840.4524129999991</v>
      </c>
      <c r="BO44">
        <v>126.85143460059327</v>
      </c>
      <c r="BP44">
        <v>125.00012223337924</v>
      </c>
      <c r="BQ44">
        <v>3</v>
      </c>
      <c r="BR44">
        <v>3</v>
      </c>
      <c r="BS44">
        <v>2</v>
      </c>
      <c r="BT44">
        <v>844</v>
      </c>
      <c r="BU44">
        <v>941.90539288520813</v>
      </c>
      <c r="BV44">
        <v>926.57773199999792</v>
      </c>
      <c r="BW44">
        <v>125.00637853770561</v>
      </c>
      <c r="BX44">
        <v>125.00380446661588</v>
      </c>
      <c r="BY44">
        <v>126.7229934628661</v>
      </c>
      <c r="BZ44">
        <v>3</v>
      </c>
      <c r="CA44">
        <v>4</v>
      </c>
      <c r="CB44">
        <v>2</v>
      </c>
      <c r="CC44">
        <v>413</v>
      </c>
      <c r="CD44">
        <v>622.82459115982056</v>
      </c>
      <c r="CE44">
        <v>613.03811000000132</v>
      </c>
      <c r="CF44">
        <v>125.0247819141249</v>
      </c>
      <c r="CG44">
        <v>125.43072751708678</v>
      </c>
      <c r="CH44">
        <v>125.00504945497271</v>
      </c>
      <c r="CI44">
        <v>3</v>
      </c>
      <c r="CJ44">
        <v>5</v>
      </c>
      <c r="CK44">
        <v>2</v>
      </c>
      <c r="CL44">
        <v>361</v>
      </c>
      <c r="CM44">
        <v>725.15723395347595</v>
      </c>
      <c r="CN44">
        <v>717.39190299999973</v>
      </c>
      <c r="CO44">
        <v>127.1283180939044</v>
      </c>
      <c r="CP44">
        <v>127.23503072110174</v>
      </c>
      <c r="CQ44">
        <v>125.00013007108477</v>
      </c>
    </row>
    <row r="45" spans="1:95" s="8" customFormat="1" x14ac:dyDescent="0.35">
      <c r="A45">
        <v>1044</v>
      </c>
      <c r="B45">
        <v>1</v>
      </c>
      <c r="C45">
        <v>1</v>
      </c>
      <c r="D45">
        <v>2</v>
      </c>
      <c r="E45">
        <v>395</v>
      </c>
      <c r="F45">
        <v>92.448822021484375</v>
      </c>
      <c r="G45">
        <v>88.132760000000417</v>
      </c>
      <c r="H45">
        <v>125.00154165844897</v>
      </c>
      <c r="I45">
        <v>1</v>
      </c>
      <c r="J45">
        <v>2</v>
      </c>
      <c r="K45">
        <v>2</v>
      </c>
      <c r="L45">
        <v>372</v>
      </c>
      <c r="M45">
        <v>148.70135283470154</v>
      </c>
      <c r="N45">
        <v>147.90038400000049</v>
      </c>
      <c r="O45">
        <v>125.00375918312115</v>
      </c>
      <c r="P45">
        <v>1</v>
      </c>
      <c r="Q45">
        <v>3</v>
      </c>
      <c r="R45">
        <v>3</v>
      </c>
      <c r="S45">
        <v>288</v>
      </c>
      <c r="T45">
        <v>170.47116613388062</v>
      </c>
      <c r="U45">
        <v>168.32651500000065</v>
      </c>
      <c r="V45">
        <v>125.00000000008762</v>
      </c>
      <c r="W45">
        <v>1</v>
      </c>
      <c r="X45">
        <v>4</v>
      </c>
      <c r="Y45">
        <v>2</v>
      </c>
      <c r="Z45">
        <v>370</v>
      </c>
      <c r="AA45">
        <v>323.14769196510315</v>
      </c>
      <c r="AB45">
        <v>318.13080000000264</v>
      </c>
      <c r="AC45">
        <v>125.00733317483835</v>
      </c>
      <c r="AD45">
        <v>1</v>
      </c>
      <c r="AE45">
        <v>5</v>
      </c>
      <c r="AF45">
        <v>2</v>
      </c>
      <c r="AG45">
        <v>418</v>
      </c>
      <c r="AH45">
        <v>427.83988690376282</v>
      </c>
      <c r="AI45">
        <v>423.26287099999536</v>
      </c>
      <c r="AJ45">
        <v>125.00733317483835</v>
      </c>
      <c r="AK45">
        <v>2</v>
      </c>
      <c r="AL45">
        <v>2</v>
      </c>
      <c r="AM45">
        <v>2</v>
      </c>
      <c r="AN45">
        <v>489</v>
      </c>
      <c r="AO45">
        <v>273.1719491481781</v>
      </c>
      <c r="AP45">
        <v>267.62774200000058</v>
      </c>
      <c r="AQ45">
        <v>125.00375918312115</v>
      </c>
      <c r="AR45">
        <v>125.00030368394967</v>
      </c>
      <c r="AS45">
        <v>2</v>
      </c>
      <c r="AT45">
        <v>3</v>
      </c>
      <c r="AU45">
        <v>2</v>
      </c>
      <c r="AV45">
        <v>442</v>
      </c>
      <c r="AW45">
        <v>386.68378710746765</v>
      </c>
      <c r="AX45">
        <v>382.25916000000143</v>
      </c>
      <c r="AY45">
        <v>126.48736828407542</v>
      </c>
      <c r="AZ45">
        <v>125.00025872067866</v>
      </c>
      <c r="BA45">
        <v>2</v>
      </c>
      <c r="BB45">
        <v>4</v>
      </c>
      <c r="BC45">
        <v>2</v>
      </c>
      <c r="BD45">
        <v>388</v>
      </c>
      <c r="BE45">
        <v>467.25941014289856</v>
      </c>
      <c r="BF45">
        <v>458.4780580000006</v>
      </c>
      <c r="BG45">
        <v>127.70330707415209</v>
      </c>
      <c r="BH45">
        <v>125.00488697593813</v>
      </c>
      <c r="BI45">
        <v>2</v>
      </c>
      <c r="BJ45">
        <v>5</v>
      </c>
      <c r="BK45">
        <v>3</v>
      </c>
      <c r="BL45">
        <v>469</v>
      </c>
      <c r="BM45">
        <v>620.93379902839661</v>
      </c>
      <c r="BN45">
        <v>611.21497899999667</v>
      </c>
      <c r="BO45">
        <v>125.00000000021753</v>
      </c>
      <c r="BP45">
        <v>125.00000000014352</v>
      </c>
      <c r="BQ45">
        <v>3</v>
      </c>
      <c r="BR45">
        <v>3</v>
      </c>
      <c r="BS45">
        <v>2</v>
      </c>
      <c r="BT45">
        <v>542</v>
      </c>
      <c r="BU45">
        <v>555.690181016922</v>
      </c>
      <c r="BV45">
        <v>549.3875079999998</v>
      </c>
      <c r="BW45">
        <v>125.00375946408379</v>
      </c>
      <c r="BX45">
        <v>125.00029542576057</v>
      </c>
      <c r="BY45">
        <v>125.00008652753444</v>
      </c>
      <c r="BZ45">
        <v>3</v>
      </c>
      <c r="CA45">
        <v>4</v>
      </c>
      <c r="CB45">
        <v>2</v>
      </c>
      <c r="CC45">
        <v>455</v>
      </c>
      <c r="CD45">
        <v>617.01786017417908</v>
      </c>
      <c r="CE45">
        <v>606.58741100000043</v>
      </c>
      <c r="CF45">
        <v>125.39233871578253</v>
      </c>
      <c r="CG45">
        <v>125.00006133431459</v>
      </c>
      <c r="CH45">
        <v>125.00000080915862</v>
      </c>
      <c r="CI45">
        <v>3</v>
      </c>
      <c r="CJ45">
        <v>5</v>
      </c>
      <c r="CK45">
        <v>2</v>
      </c>
      <c r="CL45">
        <v>489</v>
      </c>
      <c r="CM45">
        <v>842.77677989006042</v>
      </c>
      <c r="CN45">
        <v>832.62530100000004</v>
      </c>
      <c r="CO45">
        <v>131.07845992871179</v>
      </c>
      <c r="CP45">
        <v>125.00008231475194</v>
      </c>
      <c r="CQ45">
        <v>125.0007992027076</v>
      </c>
    </row>
    <row r="46" spans="1:95" s="8" customFormat="1" x14ac:dyDescent="0.35">
      <c r="A46">
        <v>1045</v>
      </c>
      <c r="B46">
        <v>1</v>
      </c>
      <c r="C46">
        <v>1</v>
      </c>
      <c r="D46">
        <v>3</v>
      </c>
      <c r="E46">
        <v>113</v>
      </c>
      <c r="F46">
        <v>21.145659923553467</v>
      </c>
      <c r="G46">
        <v>21.096154999999271</v>
      </c>
      <c r="H46">
        <v>125.00000000009616</v>
      </c>
      <c r="I46">
        <v>1</v>
      </c>
      <c r="J46">
        <v>2</v>
      </c>
      <c r="K46">
        <v>2</v>
      </c>
      <c r="L46">
        <v>629</v>
      </c>
      <c r="M46">
        <v>252.71615409851074</v>
      </c>
      <c r="N46">
        <v>249.22277100000065</v>
      </c>
      <c r="O46">
        <v>125.00080115879713</v>
      </c>
      <c r="P46">
        <v>1</v>
      </c>
      <c r="Q46">
        <v>3</v>
      </c>
      <c r="R46">
        <v>2</v>
      </c>
      <c r="S46">
        <v>389</v>
      </c>
      <c r="T46">
        <v>238.10264801979065</v>
      </c>
      <c r="U46">
        <v>233.90222399999766</v>
      </c>
      <c r="V46">
        <v>125.00080115879713</v>
      </c>
      <c r="W46">
        <v>1</v>
      </c>
      <c r="X46">
        <v>4</v>
      </c>
      <c r="Y46">
        <v>2</v>
      </c>
      <c r="Z46">
        <v>403</v>
      </c>
      <c r="AA46">
        <v>336.74056196212769</v>
      </c>
      <c r="AB46">
        <v>330.57332899999892</v>
      </c>
      <c r="AC46">
        <v>125.01129581794824</v>
      </c>
      <c r="AD46">
        <v>1</v>
      </c>
      <c r="AE46">
        <v>5</v>
      </c>
      <c r="AF46">
        <v>3</v>
      </c>
      <c r="AG46">
        <v>2038</v>
      </c>
      <c r="AH46">
        <v>2235.7918009757996</v>
      </c>
      <c r="AI46">
        <v>2200.492502000001</v>
      </c>
      <c r="AJ46">
        <v>125.00080115879713</v>
      </c>
      <c r="AK46">
        <v>2</v>
      </c>
      <c r="AL46">
        <v>2</v>
      </c>
      <c r="AM46">
        <v>2</v>
      </c>
      <c r="AN46">
        <v>609</v>
      </c>
      <c r="AO46">
        <v>351.24124217033386</v>
      </c>
      <c r="AP46">
        <v>347.34568399999989</v>
      </c>
      <c r="AQ46">
        <v>125.00211993112825</v>
      </c>
      <c r="AR46">
        <v>125.00073432539044</v>
      </c>
      <c r="AS46">
        <v>2</v>
      </c>
      <c r="AT46">
        <v>3</v>
      </c>
      <c r="AU46">
        <v>2</v>
      </c>
      <c r="AV46">
        <v>548</v>
      </c>
      <c r="AW46">
        <v>479.0410680770874</v>
      </c>
      <c r="AX46">
        <v>470.59403900000325</v>
      </c>
      <c r="AY46">
        <v>125.000114914561</v>
      </c>
      <c r="AZ46">
        <v>125.00083593553116</v>
      </c>
      <c r="BA46">
        <v>2</v>
      </c>
      <c r="BB46">
        <v>4</v>
      </c>
      <c r="BC46">
        <v>2</v>
      </c>
      <c r="BD46">
        <v>373</v>
      </c>
      <c r="BE46">
        <v>427.56578993797302</v>
      </c>
      <c r="BF46">
        <v>421.90166399999725</v>
      </c>
      <c r="BG46">
        <v>130.12335685612342</v>
      </c>
      <c r="BH46">
        <v>125.0081514247606</v>
      </c>
      <c r="BI46">
        <v>2</v>
      </c>
      <c r="BJ46">
        <v>5</v>
      </c>
      <c r="BK46">
        <v>2</v>
      </c>
      <c r="BL46">
        <v>688</v>
      </c>
      <c r="BM46">
        <v>1154.8494920730591</v>
      </c>
      <c r="BN46">
        <v>1135.638168000005</v>
      </c>
      <c r="BO46">
        <v>128.23367185239266</v>
      </c>
      <c r="BP46">
        <v>125.00018440545588</v>
      </c>
      <c r="BQ46">
        <v>3</v>
      </c>
      <c r="BR46">
        <v>3</v>
      </c>
      <c r="BS46">
        <v>2</v>
      </c>
      <c r="BT46">
        <v>532</v>
      </c>
      <c r="BU46">
        <v>562.38814616203308</v>
      </c>
      <c r="BV46">
        <v>551.38768700000219</v>
      </c>
      <c r="BW46">
        <v>125.00026443062021</v>
      </c>
      <c r="BX46">
        <v>125.00082835858385</v>
      </c>
      <c r="BY46">
        <v>125.00021662069307</v>
      </c>
      <c r="BZ46">
        <v>3</v>
      </c>
      <c r="CA46">
        <v>4</v>
      </c>
      <c r="CB46">
        <v>3</v>
      </c>
      <c r="CC46">
        <v>628</v>
      </c>
      <c r="CD46">
        <v>902.63937997817993</v>
      </c>
      <c r="CE46">
        <v>888.53155299999344</v>
      </c>
      <c r="CF46">
        <v>125.00000000016911</v>
      </c>
      <c r="CG46">
        <v>125.0000000004011</v>
      </c>
      <c r="CH46">
        <v>125.0000000001217</v>
      </c>
      <c r="CI46">
        <v>3</v>
      </c>
      <c r="CJ46">
        <v>5</v>
      </c>
      <c r="CK46">
        <v>2</v>
      </c>
      <c r="CL46">
        <v>921</v>
      </c>
      <c r="CM46">
        <v>1784.3831119537354</v>
      </c>
      <c r="CN46">
        <v>1759.409679999997</v>
      </c>
      <c r="CO46">
        <v>125.00039016080652</v>
      </c>
      <c r="CP46">
        <v>125.00082460240526</v>
      </c>
      <c r="CQ46">
        <v>125.00019210431725</v>
      </c>
    </row>
    <row r="47" spans="1:95" s="8" customFormat="1" x14ac:dyDescent="0.35">
      <c r="A47">
        <v>1046</v>
      </c>
      <c r="B47">
        <v>1</v>
      </c>
      <c r="C47">
        <v>1</v>
      </c>
      <c r="D47">
        <v>2</v>
      </c>
      <c r="E47">
        <v>324</v>
      </c>
      <c r="F47">
        <v>68.660884141921997</v>
      </c>
      <c r="G47">
        <v>67.248413000001165</v>
      </c>
      <c r="H47">
        <v>125.00086350933478</v>
      </c>
      <c r="I47">
        <v>1</v>
      </c>
      <c r="J47">
        <v>2</v>
      </c>
      <c r="K47">
        <v>2</v>
      </c>
      <c r="L47">
        <v>315</v>
      </c>
      <c r="M47">
        <v>128.19954085350037</v>
      </c>
      <c r="N47">
        <v>127.49071499999991</v>
      </c>
      <c r="O47">
        <v>125.00086350933478</v>
      </c>
      <c r="P47">
        <v>1</v>
      </c>
      <c r="Q47">
        <v>3</v>
      </c>
      <c r="R47">
        <v>2</v>
      </c>
      <c r="S47">
        <v>340</v>
      </c>
      <c r="T47">
        <v>201.59567499160767</v>
      </c>
      <c r="U47">
        <v>200.42959399999381</v>
      </c>
      <c r="V47">
        <v>125.00086350933478</v>
      </c>
      <c r="W47">
        <v>1</v>
      </c>
      <c r="X47">
        <v>4</v>
      </c>
      <c r="Y47">
        <v>2</v>
      </c>
      <c r="Z47">
        <v>332</v>
      </c>
      <c r="AA47">
        <v>262.52501511573792</v>
      </c>
      <c r="AB47">
        <v>260.04852000000392</v>
      </c>
      <c r="AC47">
        <v>125.00086350933478</v>
      </c>
      <c r="AD47">
        <v>1</v>
      </c>
      <c r="AE47">
        <v>5</v>
      </c>
      <c r="AF47">
        <v>2</v>
      </c>
      <c r="AG47">
        <v>342</v>
      </c>
      <c r="AH47">
        <v>331.86232209205627</v>
      </c>
      <c r="AI47">
        <v>329.9816290000017</v>
      </c>
      <c r="AJ47">
        <v>125.00086350933478</v>
      </c>
      <c r="AK47">
        <v>2</v>
      </c>
      <c r="AL47">
        <v>2</v>
      </c>
      <c r="AM47">
        <v>2</v>
      </c>
      <c r="AN47">
        <v>339</v>
      </c>
      <c r="AO47">
        <v>180.18100023269653</v>
      </c>
      <c r="AP47">
        <v>179.18542099999468</v>
      </c>
      <c r="AQ47">
        <v>125.00086350933478</v>
      </c>
      <c r="AR47">
        <v>127.10675912156313</v>
      </c>
      <c r="AS47">
        <v>2</v>
      </c>
      <c r="AT47">
        <v>3</v>
      </c>
      <c r="AU47">
        <v>2</v>
      </c>
      <c r="AV47">
        <v>512</v>
      </c>
      <c r="AW47">
        <v>412.90390706062317</v>
      </c>
      <c r="AX47">
        <v>409.52368900000147</v>
      </c>
      <c r="AY47">
        <v>125.02011769947036</v>
      </c>
      <c r="AZ47">
        <v>125.00004788564547</v>
      </c>
      <c r="BA47">
        <v>2</v>
      </c>
      <c r="BB47">
        <v>4</v>
      </c>
      <c r="BC47">
        <v>2</v>
      </c>
      <c r="BD47">
        <v>378</v>
      </c>
      <c r="BE47">
        <v>397.92087197303772</v>
      </c>
      <c r="BF47">
        <v>395.22803399999975</v>
      </c>
      <c r="BG47">
        <v>127.80500866318644</v>
      </c>
      <c r="BH47">
        <v>125.00811309551666</v>
      </c>
      <c r="BI47">
        <v>2</v>
      </c>
      <c r="BJ47">
        <v>5</v>
      </c>
      <c r="BK47">
        <v>2</v>
      </c>
      <c r="BL47">
        <v>493</v>
      </c>
      <c r="BM47">
        <v>658.82026386260986</v>
      </c>
      <c r="BN47">
        <v>653.68828999999823</v>
      </c>
      <c r="BO47">
        <v>125.17314983247644</v>
      </c>
      <c r="BP47">
        <v>125.0232598488557</v>
      </c>
      <c r="BQ47">
        <v>3</v>
      </c>
      <c r="BR47">
        <v>3</v>
      </c>
      <c r="BS47">
        <v>2</v>
      </c>
      <c r="BT47">
        <v>325</v>
      </c>
      <c r="BU47">
        <v>318.39072704315186</v>
      </c>
      <c r="BV47">
        <v>316.24731399999291</v>
      </c>
      <c r="BW47">
        <v>125.00086350933478</v>
      </c>
      <c r="BX47">
        <v>125.78212946036922</v>
      </c>
      <c r="BY47">
        <v>127.57722159528906</v>
      </c>
      <c r="BZ47">
        <v>3</v>
      </c>
      <c r="CA47">
        <v>4</v>
      </c>
      <c r="CB47">
        <v>2</v>
      </c>
      <c r="CC47">
        <v>493</v>
      </c>
      <c r="CD47">
        <v>646.58728504180908</v>
      </c>
      <c r="CE47">
        <v>641.5301310000068</v>
      </c>
      <c r="CF47">
        <v>125.02011769947036</v>
      </c>
      <c r="CG47">
        <v>125.00010300356796</v>
      </c>
      <c r="CH47">
        <v>125.00010703657492</v>
      </c>
      <c r="CI47">
        <v>3</v>
      </c>
      <c r="CJ47">
        <v>5</v>
      </c>
      <c r="CK47">
        <v>2</v>
      </c>
      <c r="CL47">
        <v>426</v>
      </c>
      <c r="CM47">
        <v>719.1087498664856</v>
      </c>
      <c r="CN47">
        <v>714.22536200000468</v>
      </c>
      <c r="CO47">
        <v>127.90473375753591</v>
      </c>
      <c r="CP47">
        <v>127.6774005025546</v>
      </c>
      <c r="CQ47">
        <v>125.0160021969495</v>
      </c>
    </row>
    <row r="48" spans="1:95" s="8" customFormat="1" x14ac:dyDescent="0.35">
      <c r="A48">
        <v>1047</v>
      </c>
      <c r="B48">
        <v>1</v>
      </c>
      <c r="C48">
        <v>1</v>
      </c>
      <c r="D48">
        <v>3</v>
      </c>
      <c r="E48">
        <v>280</v>
      </c>
      <c r="F48">
        <v>56.580928087234497</v>
      </c>
      <c r="G48">
        <v>56.279260000002978</v>
      </c>
      <c r="H48">
        <v>125.00000000004063</v>
      </c>
      <c r="I48">
        <v>1</v>
      </c>
      <c r="J48">
        <v>2</v>
      </c>
      <c r="K48">
        <v>3</v>
      </c>
      <c r="L48">
        <v>2877</v>
      </c>
      <c r="M48">
        <v>1151.4792668819427</v>
      </c>
      <c r="N48">
        <v>1143.2721810000003</v>
      </c>
      <c r="O48">
        <v>125.000000000057</v>
      </c>
      <c r="P48">
        <v>1</v>
      </c>
      <c r="Q48">
        <v>3</v>
      </c>
      <c r="R48">
        <v>3</v>
      </c>
      <c r="S48">
        <v>2667</v>
      </c>
      <c r="T48">
        <v>1629.1514551639557</v>
      </c>
      <c r="U48">
        <v>1617.490251999996</v>
      </c>
      <c r="V48">
        <v>125.00000000008933</v>
      </c>
      <c r="W48">
        <v>1</v>
      </c>
      <c r="X48">
        <v>4</v>
      </c>
      <c r="Y48">
        <v>3</v>
      </c>
      <c r="Z48">
        <v>264</v>
      </c>
      <c r="AA48">
        <v>197.04915308952332</v>
      </c>
      <c r="AB48">
        <v>195.96833399999741</v>
      </c>
      <c r="AC48">
        <v>125.00000000014793</v>
      </c>
      <c r="AD48">
        <v>1</v>
      </c>
      <c r="AE48">
        <v>5</v>
      </c>
      <c r="AF48">
        <v>3</v>
      </c>
      <c r="AG48">
        <v>260</v>
      </c>
      <c r="AH48">
        <v>253.30073213577271</v>
      </c>
      <c r="AI48">
        <v>251.83751000000484</v>
      </c>
      <c r="AJ48">
        <v>125.00000000022865</v>
      </c>
      <c r="AK48">
        <v>2</v>
      </c>
      <c r="AL48">
        <v>2</v>
      </c>
      <c r="AM48">
        <v>3</v>
      </c>
      <c r="AN48">
        <v>274</v>
      </c>
      <c r="AO48">
        <v>144.45949006080627</v>
      </c>
      <c r="AP48">
        <v>143.68753900000593</v>
      </c>
      <c r="AQ48">
        <v>125.00000000004358</v>
      </c>
      <c r="AR48">
        <v>125.00000000008234</v>
      </c>
      <c r="AS48">
        <v>2</v>
      </c>
      <c r="AT48">
        <v>3</v>
      </c>
      <c r="AU48">
        <v>3</v>
      </c>
      <c r="AV48">
        <v>642</v>
      </c>
      <c r="AW48">
        <v>506.73088502883911</v>
      </c>
      <c r="AX48">
        <v>503.11959300000308</v>
      </c>
      <c r="AY48">
        <v>125.0000000000929</v>
      </c>
      <c r="AZ48">
        <v>125.00000000008694</v>
      </c>
      <c r="BA48">
        <v>2</v>
      </c>
      <c r="BB48">
        <v>4</v>
      </c>
      <c r="BC48">
        <v>3</v>
      </c>
      <c r="BD48">
        <v>232</v>
      </c>
      <c r="BE48">
        <v>266.94241404533386</v>
      </c>
      <c r="BF48">
        <v>265.30674700000236</v>
      </c>
      <c r="BG48">
        <v>125.00000000019416</v>
      </c>
      <c r="BH48">
        <v>125.00000000011953</v>
      </c>
      <c r="BI48">
        <v>2</v>
      </c>
      <c r="BJ48">
        <v>5</v>
      </c>
      <c r="BK48">
        <v>3</v>
      </c>
      <c r="BL48">
        <v>426</v>
      </c>
      <c r="BM48">
        <v>661.91423392295837</v>
      </c>
      <c r="BN48">
        <v>657.84841199999937</v>
      </c>
      <c r="BO48">
        <v>125.00000000037691</v>
      </c>
      <c r="BP48">
        <v>125.00000000017293</v>
      </c>
      <c r="BQ48">
        <v>3</v>
      </c>
      <c r="BR48">
        <v>3</v>
      </c>
      <c r="BS48">
        <v>2</v>
      </c>
      <c r="BT48">
        <v>1075</v>
      </c>
      <c r="BU48">
        <v>1065.877965927124</v>
      </c>
      <c r="BV48">
        <v>1059.3596560000078</v>
      </c>
      <c r="BW48">
        <v>125.00005261705054</v>
      </c>
      <c r="BX48">
        <v>125.00008112602063</v>
      </c>
      <c r="BY48">
        <v>126.5846111644873</v>
      </c>
      <c r="BZ48">
        <v>3</v>
      </c>
      <c r="CA48">
        <v>4</v>
      </c>
      <c r="CB48">
        <v>3</v>
      </c>
      <c r="CC48">
        <v>721</v>
      </c>
      <c r="CD48">
        <v>940.91981601715088</v>
      </c>
      <c r="CE48">
        <v>935.23758599998837</v>
      </c>
      <c r="CF48">
        <v>125.00000000012996</v>
      </c>
      <c r="CG48">
        <v>125.0000000001628</v>
      </c>
      <c r="CH48">
        <v>125.0000000001573</v>
      </c>
      <c r="CI48">
        <v>3</v>
      </c>
      <c r="CJ48">
        <v>5</v>
      </c>
      <c r="CK48">
        <v>3</v>
      </c>
      <c r="CL48">
        <v>711</v>
      </c>
      <c r="CM48">
        <v>1144.0113799571991</v>
      </c>
      <c r="CN48">
        <v>1137.5743760000114</v>
      </c>
      <c r="CO48">
        <v>125.00000000024485</v>
      </c>
      <c r="CP48">
        <v>125.00000000028756</v>
      </c>
      <c r="CQ48">
        <v>125.00000000018437</v>
      </c>
    </row>
    <row r="49" spans="1:95" s="8" customFormat="1" x14ac:dyDescent="0.35">
      <c r="A49">
        <v>1048</v>
      </c>
      <c r="B49">
        <v>1</v>
      </c>
      <c r="C49">
        <v>1</v>
      </c>
      <c r="D49">
        <v>2</v>
      </c>
      <c r="E49">
        <v>468</v>
      </c>
      <c r="F49">
        <v>93.979842901229858</v>
      </c>
      <c r="G49">
        <v>93.49178099999699</v>
      </c>
      <c r="H49">
        <v>125.00325007505542</v>
      </c>
      <c r="I49">
        <v>1</v>
      </c>
      <c r="J49">
        <v>2</v>
      </c>
      <c r="K49">
        <v>2</v>
      </c>
      <c r="L49">
        <v>938</v>
      </c>
      <c r="M49">
        <v>367.0056619644165</v>
      </c>
      <c r="N49">
        <v>365.1563629999946</v>
      </c>
      <c r="O49">
        <v>125.00325007505542</v>
      </c>
      <c r="P49">
        <v>1</v>
      </c>
      <c r="Q49">
        <v>3</v>
      </c>
      <c r="R49">
        <v>2</v>
      </c>
      <c r="S49">
        <v>347</v>
      </c>
      <c r="T49">
        <v>200.98272514343262</v>
      </c>
      <c r="U49">
        <v>200.16859999999724</v>
      </c>
      <c r="V49">
        <v>125.00044656161965</v>
      </c>
      <c r="W49">
        <v>1</v>
      </c>
      <c r="X49">
        <v>4</v>
      </c>
      <c r="Y49">
        <v>2</v>
      </c>
      <c r="Z49">
        <v>571</v>
      </c>
      <c r="AA49">
        <v>442.36094498634338</v>
      </c>
      <c r="AB49">
        <v>440.23932899999636</v>
      </c>
      <c r="AC49">
        <v>125.0004475565439</v>
      </c>
      <c r="AD49">
        <v>1</v>
      </c>
      <c r="AE49">
        <v>5</v>
      </c>
      <c r="AF49">
        <v>2</v>
      </c>
      <c r="AG49">
        <v>350</v>
      </c>
      <c r="AH49">
        <v>355.39012598991394</v>
      </c>
      <c r="AI49">
        <v>353.45658099999855</v>
      </c>
      <c r="AJ49">
        <v>125.00041188861391</v>
      </c>
      <c r="AK49">
        <v>2</v>
      </c>
      <c r="AL49">
        <v>2</v>
      </c>
      <c r="AM49">
        <v>2</v>
      </c>
      <c r="AN49">
        <v>401</v>
      </c>
      <c r="AO49">
        <v>213.11080694198608</v>
      </c>
      <c r="AP49">
        <v>212.04306100000395</v>
      </c>
      <c r="AQ49">
        <v>125.00325007505542</v>
      </c>
      <c r="AR49">
        <v>127.18224638482651</v>
      </c>
      <c r="AS49">
        <v>2</v>
      </c>
      <c r="AT49">
        <v>3</v>
      </c>
      <c r="AU49">
        <v>2</v>
      </c>
      <c r="AV49">
        <v>553</v>
      </c>
      <c r="AW49">
        <v>446.66741704940796</v>
      </c>
      <c r="AX49">
        <v>444.37650700000086</v>
      </c>
      <c r="AY49">
        <v>125.00040134417186</v>
      </c>
      <c r="AZ49">
        <v>125.00012564237377</v>
      </c>
      <c r="BA49">
        <v>2</v>
      </c>
      <c r="BB49">
        <v>4</v>
      </c>
      <c r="BC49">
        <v>2</v>
      </c>
      <c r="BD49">
        <v>367</v>
      </c>
      <c r="BE49">
        <v>398.96734285354614</v>
      </c>
      <c r="BF49">
        <v>396.79747499999939</v>
      </c>
      <c r="BG49">
        <v>127.51607137915812</v>
      </c>
      <c r="BH49">
        <v>125.04426171806359</v>
      </c>
      <c r="BI49">
        <v>2</v>
      </c>
      <c r="BJ49">
        <v>5</v>
      </c>
      <c r="BK49">
        <v>2</v>
      </c>
      <c r="BL49">
        <v>456</v>
      </c>
      <c r="BM49">
        <v>611.17037892341614</v>
      </c>
      <c r="BN49">
        <v>608.01542899999913</v>
      </c>
      <c r="BO49">
        <v>128.25253587811935</v>
      </c>
      <c r="BP49">
        <v>125.0002569740067</v>
      </c>
      <c r="BQ49">
        <v>3</v>
      </c>
      <c r="BR49">
        <v>3</v>
      </c>
      <c r="BS49">
        <v>2</v>
      </c>
      <c r="BT49">
        <v>360</v>
      </c>
      <c r="BU49">
        <v>364.75775194168091</v>
      </c>
      <c r="BV49">
        <v>362.76391799999692</v>
      </c>
      <c r="BW49">
        <v>125.00325007505542</v>
      </c>
      <c r="BX49">
        <v>126.18509079425928</v>
      </c>
      <c r="BY49">
        <v>127.81100267526263</v>
      </c>
      <c r="BZ49">
        <v>3</v>
      </c>
      <c r="CA49">
        <v>4</v>
      </c>
      <c r="CB49">
        <v>2</v>
      </c>
      <c r="CC49">
        <v>818</v>
      </c>
      <c r="CD49">
        <v>1089.563225030899</v>
      </c>
      <c r="CE49">
        <v>1083.4081760000045</v>
      </c>
      <c r="CF49">
        <v>125.00569365104167</v>
      </c>
      <c r="CG49">
        <v>125.00017739272607</v>
      </c>
      <c r="CH49">
        <v>125.00011552078014</v>
      </c>
      <c r="CI49">
        <v>3</v>
      </c>
      <c r="CJ49">
        <v>5</v>
      </c>
      <c r="CK49">
        <v>2</v>
      </c>
      <c r="CL49">
        <v>381</v>
      </c>
      <c r="CM49">
        <v>628.51845812797546</v>
      </c>
      <c r="CN49">
        <v>625.18548400000145</v>
      </c>
      <c r="CO49">
        <v>125.49820933216724</v>
      </c>
      <c r="CP49">
        <v>125.01799028722984</v>
      </c>
      <c r="CQ49">
        <v>125.00000282773418</v>
      </c>
    </row>
    <row r="50" spans="1:95" s="8" customFormat="1" x14ac:dyDescent="0.35">
      <c r="A50">
        <v>1049</v>
      </c>
      <c r="B50">
        <v>1</v>
      </c>
      <c r="C50">
        <v>1</v>
      </c>
      <c r="D50">
        <v>3</v>
      </c>
      <c r="E50">
        <v>249</v>
      </c>
      <c r="F50">
        <v>49.858301162719727</v>
      </c>
      <c r="G50">
        <v>49.682675999996718</v>
      </c>
      <c r="H50">
        <v>125.00000000009328</v>
      </c>
      <c r="I50">
        <v>1</v>
      </c>
      <c r="J50">
        <v>2</v>
      </c>
      <c r="K50">
        <v>3</v>
      </c>
      <c r="L50">
        <v>137</v>
      </c>
      <c r="M50">
        <v>54.269147872924805</v>
      </c>
      <c r="N50">
        <v>54.115647999999055</v>
      </c>
      <c r="O50">
        <v>125.00000000009886</v>
      </c>
      <c r="P50">
        <v>1</v>
      </c>
      <c r="Q50">
        <v>3</v>
      </c>
      <c r="R50">
        <v>3</v>
      </c>
      <c r="S50">
        <v>361</v>
      </c>
      <c r="T50">
        <v>212.86584901809692</v>
      </c>
      <c r="U50">
        <v>211.87289600000804</v>
      </c>
      <c r="V50">
        <v>125.00000000013023</v>
      </c>
      <c r="W50">
        <v>1</v>
      </c>
      <c r="X50">
        <v>4</v>
      </c>
      <c r="Y50">
        <v>2</v>
      </c>
      <c r="Z50">
        <v>405</v>
      </c>
      <c r="AA50">
        <v>320.52350497245789</v>
      </c>
      <c r="AB50">
        <v>318.94920199999615</v>
      </c>
      <c r="AC50">
        <v>125.01403725289121</v>
      </c>
      <c r="AD50">
        <v>1</v>
      </c>
      <c r="AE50">
        <v>5</v>
      </c>
      <c r="AF50">
        <v>2</v>
      </c>
      <c r="AG50">
        <v>744</v>
      </c>
      <c r="AH50">
        <v>707.96760892868042</v>
      </c>
      <c r="AI50">
        <v>704.86376500000915</v>
      </c>
      <c r="AJ50">
        <v>125.00208369680561</v>
      </c>
      <c r="AK50">
        <v>2</v>
      </c>
      <c r="AL50">
        <v>2</v>
      </c>
      <c r="AM50">
        <v>2</v>
      </c>
      <c r="AN50">
        <v>590</v>
      </c>
      <c r="AO50">
        <v>304.52061605453491</v>
      </c>
      <c r="AP50">
        <v>303.06417199999123</v>
      </c>
      <c r="AQ50">
        <v>125.00036292071589</v>
      </c>
      <c r="AR50">
        <v>125.01449296134339</v>
      </c>
      <c r="AS50">
        <v>2</v>
      </c>
      <c r="AT50">
        <v>3</v>
      </c>
      <c r="AU50">
        <v>2</v>
      </c>
      <c r="AV50">
        <v>701</v>
      </c>
      <c r="AW50">
        <v>541.97113704681396</v>
      </c>
      <c r="AX50">
        <v>539.39231499999732</v>
      </c>
      <c r="AY50">
        <v>125.00149675240007</v>
      </c>
      <c r="AZ50">
        <v>125.00210512303117</v>
      </c>
      <c r="BA50">
        <v>2</v>
      </c>
      <c r="BB50">
        <v>4</v>
      </c>
      <c r="BC50">
        <v>2</v>
      </c>
      <c r="BD50">
        <v>349</v>
      </c>
      <c r="BE50">
        <v>359.66974592208862</v>
      </c>
      <c r="BF50">
        <v>358.11511900000914</v>
      </c>
      <c r="BG50">
        <v>127.53439589527611</v>
      </c>
      <c r="BH50">
        <v>125.00631077452033</v>
      </c>
      <c r="BI50">
        <v>2</v>
      </c>
      <c r="BJ50">
        <v>5</v>
      </c>
      <c r="BK50">
        <v>2</v>
      </c>
      <c r="BL50">
        <v>339</v>
      </c>
      <c r="BM50">
        <v>438.66142201423645</v>
      </c>
      <c r="BN50">
        <v>436.63813999999547</v>
      </c>
      <c r="BO50">
        <v>128.26939500257865</v>
      </c>
      <c r="BP50">
        <v>125.00062922121685</v>
      </c>
      <c r="BQ50">
        <v>3</v>
      </c>
      <c r="BR50">
        <v>3</v>
      </c>
      <c r="BS50">
        <v>2</v>
      </c>
      <c r="BT50">
        <v>402</v>
      </c>
      <c r="BU50">
        <v>384.84383702278137</v>
      </c>
      <c r="BV50">
        <v>383.1652019999965</v>
      </c>
      <c r="BW50">
        <v>125.04519624250578</v>
      </c>
      <c r="BX50">
        <v>125.00080243804624</v>
      </c>
      <c r="BY50">
        <v>128.63674965505911</v>
      </c>
      <c r="BZ50">
        <v>3</v>
      </c>
      <c r="CA50">
        <v>4</v>
      </c>
      <c r="CB50">
        <v>3</v>
      </c>
      <c r="CC50">
        <v>524</v>
      </c>
      <c r="CD50">
        <v>672.86811280250549</v>
      </c>
      <c r="CE50">
        <v>669.43552199999976</v>
      </c>
      <c r="CF50">
        <v>125.00000000011372</v>
      </c>
      <c r="CG50">
        <v>125.00000000016803</v>
      </c>
      <c r="CH50">
        <v>125.00000000020603</v>
      </c>
      <c r="CI50">
        <v>3</v>
      </c>
      <c r="CJ50">
        <v>5</v>
      </c>
      <c r="CK50">
        <v>2</v>
      </c>
      <c r="CL50">
        <v>1500</v>
      </c>
      <c r="CM50">
        <v>2710.3883368968964</v>
      </c>
      <c r="CN50">
        <v>2694.885589000005</v>
      </c>
      <c r="CO50">
        <v>125.46218745541871</v>
      </c>
      <c r="CP50">
        <v>125.00011098174811</v>
      </c>
      <c r="CQ50">
        <v>125.00005570210017</v>
      </c>
    </row>
    <row r="51" spans="1:95" s="8" customFormat="1" x14ac:dyDescent="0.35">
      <c r="A51">
        <v>1050</v>
      </c>
      <c r="B51">
        <v>1</v>
      </c>
      <c r="C51">
        <v>1</v>
      </c>
      <c r="D51">
        <v>3</v>
      </c>
      <c r="E51">
        <v>252</v>
      </c>
      <c r="F51">
        <v>49.608304977416992</v>
      </c>
      <c r="G51">
        <v>49.411156000001938</v>
      </c>
      <c r="H51">
        <v>125.00000000005888</v>
      </c>
      <c r="I51">
        <v>1</v>
      </c>
      <c r="J51">
        <v>2</v>
      </c>
      <c r="K51">
        <v>3</v>
      </c>
      <c r="L51">
        <v>317</v>
      </c>
      <c r="M51">
        <v>146.97898387908936</v>
      </c>
      <c r="N51">
        <v>146.29105600000184</v>
      </c>
      <c r="O51">
        <v>125.00000000006901</v>
      </c>
      <c r="P51">
        <v>1</v>
      </c>
      <c r="Q51">
        <v>3</v>
      </c>
      <c r="R51">
        <v>3</v>
      </c>
      <c r="S51">
        <v>1848</v>
      </c>
      <c r="T51">
        <v>1292.6504790782928</v>
      </c>
      <c r="U51">
        <v>1276.2699859999993</v>
      </c>
      <c r="V51">
        <v>125.00000000008433</v>
      </c>
      <c r="W51">
        <v>1</v>
      </c>
      <c r="X51">
        <v>4</v>
      </c>
      <c r="Y51">
        <v>3</v>
      </c>
      <c r="Z51">
        <v>369</v>
      </c>
      <c r="AA51">
        <v>287.92634797096252</v>
      </c>
      <c r="AB51">
        <v>286.58342799999809</v>
      </c>
      <c r="AC51">
        <v>125.00000000010661</v>
      </c>
      <c r="AD51">
        <v>1</v>
      </c>
      <c r="AE51">
        <v>5</v>
      </c>
      <c r="AF51">
        <v>2</v>
      </c>
      <c r="AG51">
        <v>381</v>
      </c>
      <c r="AH51">
        <v>377.4212920665741</v>
      </c>
      <c r="AI51">
        <v>375.65432499999588</v>
      </c>
      <c r="AJ51">
        <v>125.04974730302072</v>
      </c>
      <c r="AK51">
        <v>2</v>
      </c>
      <c r="AL51">
        <v>2</v>
      </c>
      <c r="AM51">
        <v>3</v>
      </c>
      <c r="AN51">
        <v>451</v>
      </c>
      <c r="AO51">
        <v>235.92703700065613</v>
      </c>
      <c r="AP51">
        <v>234.67971200001193</v>
      </c>
      <c r="AQ51">
        <v>125.00000000004738</v>
      </c>
      <c r="AR51">
        <v>125.00000000012707</v>
      </c>
      <c r="AS51">
        <v>2</v>
      </c>
      <c r="AT51">
        <v>3</v>
      </c>
      <c r="AU51">
        <v>2</v>
      </c>
      <c r="AV51">
        <v>355</v>
      </c>
      <c r="AW51">
        <v>280.46944499015808</v>
      </c>
      <c r="AX51">
        <v>279.1949900000036</v>
      </c>
      <c r="AY51">
        <v>125.95063191292166</v>
      </c>
      <c r="AZ51">
        <v>125.00526815758523</v>
      </c>
      <c r="BA51">
        <v>2</v>
      </c>
      <c r="BB51">
        <v>4</v>
      </c>
      <c r="BC51">
        <v>2</v>
      </c>
      <c r="BD51">
        <v>395</v>
      </c>
      <c r="BE51">
        <v>414.65183591842651</v>
      </c>
      <c r="BF51">
        <v>412.7017949999863</v>
      </c>
      <c r="BG51">
        <v>127.52146002896274</v>
      </c>
      <c r="BH51">
        <v>125.01695023140236</v>
      </c>
      <c r="BI51">
        <v>2</v>
      </c>
      <c r="BJ51">
        <v>5</v>
      </c>
      <c r="BK51">
        <v>2</v>
      </c>
      <c r="BL51">
        <v>656</v>
      </c>
      <c r="BM51">
        <v>861.23520088195801</v>
      </c>
      <c r="BN51">
        <v>856.76742800000648</v>
      </c>
      <c r="BO51">
        <v>128.34537714850526</v>
      </c>
      <c r="BP51">
        <v>125.0048897592383</v>
      </c>
      <c r="BQ51">
        <v>3</v>
      </c>
      <c r="BR51">
        <v>3</v>
      </c>
      <c r="BS51">
        <v>2</v>
      </c>
      <c r="BT51">
        <v>822</v>
      </c>
      <c r="BU51">
        <v>803.37892913818359</v>
      </c>
      <c r="BV51">
        <v>799.09237500000745</v>
      </c>
      <c r="BW51">
        <v>125.00012459539998</v>
      </c>
      <c r="BX51">
        <v>125.53636540155375</v>
      </c>
      <c r="BY51">
        <v>125.00010715386888</v>
      </c>
      <c r="BZ51">
        <v>3</v>
      </c>
      <c r="CA51">
        <v>4</v>
      </c>
      <c r="CB51">
        <v>2</v>
      </c>
      <c r="CC51">
        <v>625</v>
      </c>
      <c r="CD51">
        <v>805.66668891906738</v>
      </c>
      <c r="CE51">
        <v>801.50847000000067</v>
      </c>
      <c r="CF51">
        <v>125.22530987213783</v>
      </c>
      <c r="CG51">
        <v>125.68696021530737</v>
      </c>
      <c r="CH51">
        <v>125.06893199267276</v>
      </c>
      <c r="CI51">
        <v>3</v>
      </c>
      <c r="CJ51">
        <v>5</v>
      </c>
      <c r="CK51">
        <v>2</v>
      </c>
      <c r="CL51">
        <v>413</v>
      </c>
      <c r="CM51">
        <v>671.29730582237244</v>
      </c>
      <c r="CN51">
        <v>667.72415400001046</v>
      </c>
      <c r="CO51">
        <v>125.00009184756887</v>
      </c>
      <c r="CP51">
        <v>125.00293928790853</v>
      </c>
      <c r="CQ51">
        <v>125.0007284723961</v>
      </c>
    </row>
    <row r="52" spans="1:95" s="8" customFormat="1" x14ac:dyDescent="0.35">
      <c r="A52">
        <v>1051</v>
      </c>
      <c r="B52">
        <v>1</v>
      </c>
      <c r="C52">
        <v>1</v>
      </c>
      <c r="D52">
        <v>2</v>
      </c>
      <c r="E52">
        <v>698</v>
      </c>
      <c r="F52">
        <v>169.54147410392761</v>
      </c>
      <c r="G52">
        <v>168.34819100000004</v>
      </c>
      <c r="H52">
        <v>125.00574735773226</v>
      </c>
      <c r="I52">
        <v>1</v>
      </c>
      <c r="J52">
        <v>2</v>
      </c>
      <c r="K52">
        <v>2</v>
      </c>
      <c r="L52">
        <v>519</v>
      </c>
      <c r="M52">
        <v>244.33563709259033</v>
      </c>
      <c r="N52">
        <v>238.81461200000001</v>
      </c>
      <c r="O52">
        <v>125.00574735773226</v>
      </c>
      <c r="P52">
        <v>1</v>
      </c>
      <c r="Q52">
        <v>3</v>
      </c>
      <c r="R52">
        <v>2</v>
      </c>
      <c r="S52">
        <v>512</v>
      </c>
      <c r="T52">
        <v>322.41734385490417</v>
      </c>
      <c r="U52">
        <v>316.42333500000018</v>
      </c>
      <c r="V52">
        <v>125.00280690089342</v>
      </c>
      <c r="W52">
        <v>1</v>
      </c>
      <c r="X52">
        <v>4</v>
      </c>
      <c r="Y52">
        <v>2</v>
      </c>
      <c r="Z52">
        <v>741</v>
      </c>
      <c r="AA52">
        <v>602.70733308792114</v>
      </c>
      <c r="AB52">
        <v>592.21578099999988</v>
      </c>
      <c r="AC52">
        <v>125.00280690089342</v>
      </c>
      <c r="AD52">
        <v>1</v>
      </c>
      <c r="AE52">
        <v>5</v>
      </c>
      <c r="AF52">
        <v>3</v>
      </c>
      <c r="AG52">
        <v>463</v>
      </c>
      <c r="AH52">
        <v>521.02110505104065</v>
      </c>
      <c r="AI52">
        <v>509.78472500000021</v>
      </c>
      <c r="AJ52">
        <v>125.00000000023724</v>
      </c>
      <c r="AK52">
        <v>2</v>
      </c>
      <c r="AL52">
        <v>2</v>
      </c>
      <c r="AM52">
        <v>3</v>
      </c>
      <c r="AN52">
        <v>329</v>
      </c>
      <c r="AO52">
        <v>195.41948509216309</v>
      </c>
      <c r="AP52">
        <v>194.00844899999993</v>
      </c>
      <c r="AQ52">
        <v>125.00000000011934</v>
      </c>
      <c r="AR52">
        <v>125.00000000023316</v>
      </c>
      <c r="AS52">
        <v>2</v>
      </c>
      <c r="AT52">
        <v>3</v>
      </c>
      <c r="AU52">
        <v>2</v>
      </c>
      <c r="AV52">
        <v>409</v>
      </c>
      <c r="AW52">
        <v>435.74747705459595</v>
      </c>
      <c r="AX52">
        <v>426.11494600000015</v>
      </c>
      <c r="AY52">
        <v>126.25530955182769</v>
      </c>
      <c r="AZ52">
        <v>125.02786745492386</v>
      </c>
      <c r="BA52">
        <v>2</v>
      </c>
      <c r="BB52">
        <v>4</v>
      </c>
      <c r="BC52">
        <v>2</v>
      </c>
      <c r="BD52">
        <v>529</v>
      </c>
      <c r="BE52">
        <v>596.38813304901123</v>
      </c>
      <c r="BF52">
        <v>584.98240399999986</v>
      </c>
      <c r="BG52">
        <v>127.61541372833337</v>
      </c>
      <c r="BH52">
        <v>125.00018859065132</v>
      </c>
      <c r="BI52">
        <v>2</v>
      </c>
      <c r="BJ52">
        <v>5</v>
      </c>
      <c r="BK52">
        <v>2</v>
      </c>
      <c r="BL52">
        <v>446</v>
      </c>
      <c r="BM52">
        <v>680.9757559299469</v>
      </c>
      <c r="BN52">
        <v>670.31145499999957</v>
      </c>
      <c r="BO52">
        <v>128.36095713040899</v>
      </c>
      <c r="BP52">
        <v>125.00088845404524</v>
      </c>
      <c r="BQ52">
        <v>3</v>
      </c>
      <c r="BR52">
        <v>3</v>
      </c>
      <c r="BS52">
        <v>2</v>
      </c>
      <c r="BT52">
        <v>361</v>
      </c>
      <c r="BU52">
        <v>382.75581002235413</v>
      </c>
      <c r="BV52">
        <v>376.33294099999966</v>
      </c>
      <c r="BW52">
        <v>125.00116615569446</v>
      </c>
      <c r="BX52">
        <v>125.00286689318602</v>
      </c>
      <c r="BY52">
        <v>127.01712844999794</v>
      </c>
      <c r="BZ52">
        <v>3</v>
      </c>
      <c r="CA52">
        <v>4</v>
      </c>
      <c r="CB52">
        <v>2</v>
      </c>
      <c r="CC52">
        <v>377</v>
      </c>
      <c r="CD52">
        <v>594.21194887161255</v>
      </c>
      <c r="CE52">
        <v>583.99546999999984</v>
      </c>
      <c r="CF52">
        <v>125.81777599763021</v>
      </c>
      <c r="CG52">
        <v>126.05388785773567</v>
      </c>
      <c r="CH52">
        <v>125.00964692205271</v>
      </c>
      <c r="CI52">
        <v>3</v>
      </c>
      <c r="CJ52">
        <v>5</v>
      </c>
      <c r="CK52">
        <v>2</v>
      </c>
      <c r="CL52">
        <v>463</v>
      </c>
      <c r="CM52">
        <v>966.27683901786804</v>
      </c>
      <c r="CN52">
        <v>950.52902899999935</v>
      </c>
      <c r="CO52">
        <v>127.50542388406507</v>
      </c>
      <c r="CP52">
        <v>127.47207815718207</v>
      </c>
      <c r="CQ52">
        <v>125.01042036898595</v>
      </c>
    </row>
    <row r="53" spans="1:95" s="8" customFormat="1" x14ac:dyDescent="0.35">
      <c r="A53">
        <v>1052</v>
      </c>
      <c r="B53">
        <v>1</v>
      </c>
      <c r="C53">
        <v>1</v>
      </c>
      <c r="D53">
        <v>3</v>
      </c>
      <c r="E53">
        <v>1902</v>
      </c>
      <c r="F53">
        <v>457.63864898681641</v>
      </c>
      <c r="G53">
        <v>448.11569699999927</v>
      </c>
      <c r="H53">
        <v>125.00000000016693</v>
      </c>
      <c r="I53">
        <v>1</v>
      </c>
      <c r="J53">
        <v>2</v>
      </c>
      <c r="K53">
        <v>2</v>
      </c>
      <c r="L53">
        <v>384</v>
      </c>
      <c r="M53">
        <v>190.75508093833923</v>
      </c>
      <c r="N53">
        <v>189.48158499999954</v>
      </c>
      <c r="O53">
        <v>125.00310366720772</v>
      </c>
      <c r="P53">
        <v>1</v>
      </c>
      <c r="Q53">
        <v>3</v>
      </c>
      <c r="R53">
        <v>2</v>
      </c>
      <c r="S53">
        <v>592</v>
      </c>
      <c r="T53">
        <v>520.36720395088196</v>
      </c>
      <c r="U53">
        <v>508.13874700000088</v>
      </c>
      <c r="V53">
        <v>125.00310366720772</v>
      </c>
      <c r="W53">
        <v>1</v>
      </c>
      <c r="X53">
        <v>4</v>
      </c>
      <c r="Y53">
        <v>2</v>
      </c>
      <c r="Z53">
        <v>640</v>
      </c>
      <c r="AA53">
        <v>614.90551900863647</v>
      </c>
      <c r="AB53">
        <v>604.48255300000164</v>
      </c>
      <c r="AC53">
        <v>125.00310366720772</v>
      </c>
      <c r="AD53">
        <v>1</v>
      </c>
      <c r="AE53">
        <v>5</v>
      </c>
      <c r="AF53">
        <v>2</v>
      </c>
      <c r="AG53">
        <v>386</v>
      </c>
      <c r="AH53">
        <v>481.46533393859863</v>
      </c>
      <c r="AI53">
        <v>475.45082800000091</v>
      </c>
      <c r="AJ53">
        <v>125.0031036672078</v>
      </c>
      <c r="AK53">
        <v>2</v>
      </c>
      <c r="AL53">
        <v>2</v>
      </c>
      <c r="AM53">
        <v>2</v>
      </c>
      <c r="AN53">
        <v>524</v>
      </c>
      <c r="AO53">
        <v>390.80020594596863</v>
      </c>
      <c r="AP53">
        <v>381.93817800000033</v>
      </c>
      <c r="AQ53">
        <v>125.00240548519851</v>
      </c>
      <c r="AR53">
        <v>125.00313653702854</v>
      </c>
      <c r="AS53">
        <v>2</v>
      </c>
      <c r="AT53">
        <v>3</v>
      </c>
      <c r="AU53">
        <v>2</v>
      </c>
      <c r="AV53">
        <v>553</v>
      </c>
      <c r="AW53">
        <v>524.22670578956604</v>
      </c>
      <c r="AX53">
        <v>517.02002399999765</v>
      </c>
      <c r="AY53">
        <v>125.0003133621677</v>
      </c>
      <c r="AZ53">
        <v>125.00323504307163</v>
      </c>
      <c r="BA53">
        <v>2</v>
      </c>
      <c r="BB53">
        <v>4</v>
      </c>
      <c r="BC53">
        <v>3</v>
      </c>
      <c r="BD53">
        <v>630</v>
      </c>
      <c r="BE53">
        <v>833.59721302986145</v>
      </c>
      <c r="BF53">
        <v>817.10040700000172</v>
      </c>
      <c r="BG53">
        <v>125.00000000034136</v>
      </c>
      <c r="BH53">
        <v>125.00000000013492</v>
      </c>
      <c r="BI53">
        <v>2</v>
      </c>
      <c r="BJ53">
        <v>5</v>
      </c>
      <c r="BK53">
        <v>2</v>
      </c>
      <c r="BL53">
        <v>374</v>
      </c>
      <c r="BM53">
        <v>621.28641510009766</v>
      </c>
      <c r="BN53">
        <v>610.42034499999863</v>
      </c>
      <c r="BO53">
        <v>128.47686569421307</v>
      </c>
      <c r="BP53">
        <v>125.00082650008595</v>
      </c>
      <c r="BQ53">
        <v>3</v>
      </c>
      <c r="BR53">
        <v>3</v>
      </c>
      <c r="BS53">
        <v>2</v>
      </c>
      <c r="BT53">
        <v>493</v>
      </c>
      <c r="BU53">
        <v>608.09953999519348</v>
      </c>
      <c r="BV53">
        <v>598.09636600000158</v>
      </c>
      <c r="BW53">
        <v>125.00285736225904</v>
      </c>
      <c r="BX53">
        <v>125.00311527023005</v>
      </c>
      <c r="BY53">
        <v>127.15281882262873</v>
      </c>
      <c r="BZ53">
        <v>3</v>
      </c>
      <c r="CA53">
        <v>4</v>
      </c>
      <c r="CB53">
        <v>2</v>
      </c>
      <c r="CC53">
        <v>333</v>
      </c>
      <c r="CD53">
        <v>546.38745307922363</v>
      </c>
      <c r="CE53">
        <v>537.47194900000068</v>
      </c>
      <c r="CF53">
        <v>126.02234889000167</v>
      </c>
      <c r="CG53">
        <v>126.07406725942668</v>
      </c>
      <c r="CH53">
        <v>125.00216083785961</v>
      </c>
      <c r="CI53">
        <v>3</v>
      </c>
      <c r="CJ53">
        <v>5</v>
      </c>
      <c r="CK53">
        <v>3</v>
      </c>
      <c r="CL53">
        <v>1786</v>
      </c>
      <c r="CM53">
        <v>3191.4593029022217</v>
      </c>
      <c r="CN53">
        <v>3142.7737350000007</v>
      </c>
      <c r="CO53">
        <v>125.00000000033744</v>
      </c>
      <c r="CP53">
        <v>125.00000000029084</v>
      </c>
      <c r="CQ53">
        <v>125.00000000012849</v>
      </c>
    </row>
    <row r="54" spans="1:95" s="8" customFormat="1" x14ac:dyDescent="0.35">
      <c r="A54">
        <v>1053</v>
      </c>
      <c r="B54">
        <v>1</v>
      </c>
      <c r="C54">
        <v>1</v>
      </c>
      <c r="D54">
        <v>2</v>
      </c>
      <c r="E54">
        <v>371</v>
      </c>
      <c r="F54">
        <v>90.6614990234375</v>
      </c>
      <c r="G54">
        <v>87.806855000000724</v>
      </c>
      <c r="H54">
        <v>125.02042088891068</v>
      </c>
      <c r="I54">
        <v>1</v>
      </c>
      <c r="J54">
        <v>2</v>
      </c>
      <c r="K54">
        <v>2</v>
      </c>
      <c r="L54">
        <v>731</v>
      </c>
      <c r="M54">
        <v>313.88526105880737</v>
      </c>
      <c r="N54">
        <v>308.32533599999988</v>
      </c>
      <c r="O54">
        <v>125.02999417820611</v>
      </c>
      <c r="P54">
        <v>1</v>
      </c>
      <c r="Q54">
        <v>3</v>
      </c>
      <c r="R54">
        <v>2</v>
      </c>
      <c r="S54">
        <v>397</v>
      </c>
      <c r="T54">
        <v>287.21475601196289</v>
      </c>
      <c r="U54">
        <v>282.21170300000085</v>
      </c>
      <c r="V54">
        <v>125.00630462936969</v>
      </c>
      <c r="W54">
        <v>1</v>
      </c>
      <c r="X54">
        <v>4</v>
      </c>
      <c r="Y54">
        <v>3</v>
      </c>
      <c r="Z54">
        <v>92</v>
      </c>
      <c r="AA54">
        <v>68.691822052001953</v>
      </c>
      <c r="AB54">
        <v>68.479826999999204</v>
      </c>
      <c r="AC54">
        <v>125.00000000011491</v>
      </c>
      <c r="AD54">
        <v>1</v>
      </c>
      <c r="AE54">
        <v>5</v>
      </c>
      <c r="AF54">
        <v>3</v>
      </c>
      <c r="AG54">
        <v>149</v>
      </c>
      <c r="AH54">
        <v>139.50342607498169</v>
      </c>
      <c r="AI54">
        <v>139.02111100000184</v>
      </c>
      <c r="AJ54">
        <v>125.0000000001499</v>
      </c>
      <c r="AK54">
        <v>2</v>
      </c>
      <c r="AL54">
        <v>2</v>
      </c>
      <c r="AM54">
        <v>2</v>
      </c>
      <c r="AN54">
        <v>343</v>
      </c>
      <c r="AO54">
        <v>195.81243205070496</v>
      </c>
      <c r="AP54">
        <v>191.95066999999835</v>
      </c>
      <c r="AQ54">
        <v>125.0040989974591</v>
      </c>
      <c r="AR54">
        <v>127.05405873447691</v>
      </c>
      <c r="AS54">
        <v>2</v>
      </c>
      <c r="AT54">
        <v>3</v>
      </c>
      <c r="AU54">
        <v>2</v>
      </c>
      <c r="AV54">
        <v>30919</v>
      </c>
      <c r="AW54">
        <v>26995.220872879028</v>
      </c>
      <c r="AX54">
        <v>26695.305152000001</v>
      </c>
      <c r="AY54">
        <v>125.02042088891068</v>
      </c>
      <c r="AZ54">
        <v>125.00000007465852</v>
      </c>
      <c r="BA54">
        <v>2</v>
      </c>
      <c r="BB54">
        <v>4</v>
      </c>
      <c r="BC54">
        <v>2</v>
      </c>
      <c r="BD54">
        <v>414</v>
      </c>
      <c r="BE54">
        <v>431.87945604324341</v>
      </c>
      <c r="BF54">
        <v>429.92762999999832</v>
      </c>
      <c r="BG54">
        <v>127.18099720234909</v>
      </c>
      <c r="BH54">
        <v>125.01616115047101</v>
      </c>
      <c r="BI54">
        <v>2</v>
      </c>
      <c r="BJ54">
        <v>5</v>
      </c>
      <c r="BK54">
        <v>2</v>
      </c>
      <c r="BL54">
        <v>414</v>
      </c>
      <c r="BM54">
        <v>559.04174017906189</v>
      </c>
      <c r="BN54">
        <v>556.25214499999129</v>
      </c>
      <c r="BO54">
        <v>128.20608594150909</v>
      </c>
      <c r="BP54">
        <v>125.01556469586131</v>
      </c>
      <c r="BQ54">
        <v>3</v>
      </c>
      <c r="BR54">
        <v>3</v>
      </c>
      <c r="BS54">
        <v>2</v>
      </c>
      <c r="BT54">
        <v>369</v>
      </c>
      <c r="BU54">
        <v>377.91573309898376</v>
      </c>
      <c r="BV54">
        <v>375.94133699999657</v>
      </c>
      <c r="BW54">
        <v>125.02042088891068</v>
      </c>
      <c r="BX54">
        <v>125.77544149416593</v>
      </c>
      <c r="BY54">
        <v>127.46805576460245</v>
      </c>
      <c r="BZ54">
        <v>3</v>
      </c>
      <c r="CA54">
        <v>4</v>
      </c>
      <c r="CB54">
        <v>2</v>
      </c>
      <c r="CC54">
        <v>389</v>
      </c>
      <c r="CD54">
        <v>504.18792200088501</v>
      </c>
      <c r="CE54">
        <v>501.86352699999406</v>
      </c>
      <c r="CF54">
        <v>125.00841375413914</v>
      </c>
      <c r="CG54">
        <v>126.10265248106387</v>
      </c>
      <c r="CH54">
        <v>125.01878573131083</v>
      </c>
      <c r="CI54">
        <v>3</v>
      </c>
      <c r="CJ54">
        <v>5</v>
      </c>
      <c r="CK54">
        <v>2</v>
      </c>
      <c r="CL54">
        <v>357</v>
      </c>
      <c r="CM54">
        <v>584.0649847984314</v>
      </c>
      <c r="CN54">
        <v>581.18057400000544</v>
      </c>
      <c r="CO54">
        <v>127.38384270721792</v>
      </c>
      <c r="CP54">
        <v>127.72558670813321</v>
      </c>
      <c r="CQ54">
        <v>125.00018869571404</v>
      </c>
    </row>
    <row r="55" spans="1:95" s="8" customFormat="1" x14ac:dyDescent="0.35">
      <c r="A55">
        <v>1054</v>
      </c>
      <c r="B55">
        <v>1</v>
      </c>
      <c r="C55">
        <v>1</v>
      </c>
      <c r="D55">
        <v>3</v>
      </c>
      <c r="E55">
        <v>1095</v>
      </c>
      <c r="F55">
        <v>213.78600001335144</v>
      </c>
      <c r="G55">
        <v>212.78936799999792</v>
      </c>
      <c r="H55">
        <v>125.00000000023429</v>
      </c>
      <c r="I55">
        <v>1</v>
      </c>
      <c r="J55">
        <v>2</v>
      </c>
      <c r="K55">
        <v>3</v>
      </c>
      <c r="L55">
        <v>96</v>
      </c>
      <c r="M55">
        <v>37.816842794418335</v>
      </c>
      <c r="N55">
        <v>37.74584099999629</v>
      </c>
      <c r="O55">
        <v>125.00000000026057</v>
      </c>
      <c r="P55">
        <v>1</v>
      </c>
      <c r="Q55">
        <v>3</v>
      </c>
      <c r="R55">
        <v>2</v>
      </c>
      <c r="S55">
        <v>343</v>
      </c>
      <c r="T55">
        <v>199.95882320404053</v>
      </c>
      <c r="U55">
        <v>199.11313099999825</v>
      </c>
      <c r="V55">
        <v>125.00080746452782</v>
      </c>
      <c r="W55">
        <v>1</v>
      </c>
      <c r="X55">
        <v>4</v>
      </c>
      <c r="Y55">
        <v>3</v>
      </c>
      <c r="Z55">
        <v>372</v>
      </c>
      <c r="AA55">
        <v>302.75648713111877</v>
      </c>
      <c r="AB55">
        <v>301.13053200000286</v>
      </c>
      <c r="AC55">
        <v>125.00000000036601</v>
      </c>
      <c r="AD55">
        <v>1</v>
      </c>
      <c r="AE55">
        <v>5</v>
      </c>
      <c r="AF55">
        <v>3</v>
      </c>
      <c r="AG55">
        <v>1902</v>
      </c>
      <c r="AH55">
        <v>1934.4936881065369</v>
      </c>
      <c r="AI55">
        <v>1922.9571179999984</v>
      </c>
      <c r="AJ55">
        <v>125.00000000032732</v>
      </c>
      <c r="AK55">
        <v>2</v>
      </c>
      <c r="AL55">
        <v>2</v>
      </c>
      <c r="AM55">
        <v>3</v>
      </c>
      <c r="AN55">
        <v>188</v>
      </c>
      <c r="AO55">
        <v>100.12387204170227</v>
      </c>
      <c r="AP55">
        <v>99.701891000004252</v>
      </c>
      <c r="AQ55">
        <v>125.00000000020891</v>
      </c>
      <c r="AR55">
        <v>125.0000000003463</v>
      </c>
      <c r="AS55">
        <v>2</v>
      </c>
      <c r="AT55">
        <v>3</v>
      </c>
      <c r="AU55">
        <v>2</v>
      </c>
      <c r="AV55">
        <v>497</v>
      </c>
      <c r="AW55">
        <v>395.21014499664307</v>
      </c>
      <c r="AX55">
        <v>393.12974799999938</v>
      </c>
      <c r="AY55">
        <v>125.00028833123869</v>
      </c>
      <c r="AZ55">
        <v>125.00079827528326</v>
      </c>
      <c r="BA55">
        <v>2</v>
      </c>
      <c r="BB55">
        <v>4</v>
      </c>
      <c r="BC55">
        <v>2</v>
      </c>
      <c r="BD55">
        <v>521</v>
      </c>
      <c r="BE55">
        <v>540.37656688690186</v>
      </c>
      <c r="BF55">
        <v>537.69368399999803</v>
      </c>
      <c r="BG55">
        <v>127.90987274062002</v>
      </c>
      <c r="BH55">
        <v>125.00372304303207</v>
      </c>
      <c r="BI55">
        <v>2</v>
      </c>
      <c r="BJ55">
        <v>5</v>
      </c>
      <c r="BK55">
        <v>2</v>
      </c>
      <c r="BL55">
        <v>459</v>
      </c>
      <c r="BM55">
        <v>594.88010001182556</v>
      </c>
      <c r="BN55">
        <v>592.04971400000795</v>
      </c>
      <c r="BO55">
        <v>128.56400876134757</v>
      </c>
      <c r="BP55">
        <v>125.00234774925495</v>
      </c>
      <c r="BQ55">
        <v>3</v>
      </c>
      <c r="BR55">
        <v>3</v>
      </c>
      <c r="BS55">
        <v>3</v>
      </c>
      <c r="BT55">
        <v>1467</v>
      </c>
      <c r="BU55">
        <v>1489.7618389129639</v>
      </c>
      <c r="BV55">
        <v>1481.7570640000049</v>
      </c>
      <c r="BW55">
        <v>125.00000000022121</v>
      </c>
      <c r="BX55">
        <v>125.00000000027136</v>
      </c>
      <c r="BY55">
        <v>125.00000000040932</v>
      </c>
      <c r="BZ55">
        <v>3</v>
      </c>
      <c r="CA55">
        <v>4</v>
      </c>
      <c r="CB55">
        <v>3</v>
      </c>
      <c r="CC55">
        <v>1669</v>
      </c>
      <c r="CD55">
        <v>2188.8949868679047</v>
      </c>
      <c r="CE55">
        <v>2176.7562819999948</v>
      </c>
      <c r="CF55">
        <v>125.00000000032489</v>
      </c>
      <c r="CG55">
        <v>125.00000000036582</v>
      </c>
      <c r="CH55">
        <v>125.0000000004276</v>
      </c>
      <c r="CI55">
        <v>3</v>
      </c>
      <c r="CJ55">
        <v>5</v>
      </c>
      <c r="CK55">
        <v>2</v>
      </c>
      <c r="CL55">
        <v>366</v>
      </c>
      <c r="CM55">
        <v>597.02875518798828</v>
      </c>
      <c r="CN55">
        <v>593.86209699999745</v>
      </c>
      <c r="CO55">
        <v>128.01002321392994</v>
      </c>
      <c r="CP55">
        <v>127.70322192803951</v>
      </c>
      <c r="CQ55">
        <v>125.00508004944818</v>
      </c>
    </row>
    <row r="56" spans="1:95" s="8" customFormat="1" x14ac:dyDescent="0.35">
      <c r="A56">
        <v>1055</v>
      </c>
      <c r="B56">
        <v>1</v>
      </c>
      <c r="C56">
        <v>1</v>
      </c>
      <c r="D56">
        <v>5</v>
      </c>
      <c r="E56">
        <v>1345</v>
      </c>
      <c r="F56">
        <v>270.6068742275238</v>
      </c>
      <c r="G56">
        <v>269.01849799999763</v>
      </c>
      <c r="H56">
        <v>129.99998106476531</v>
      </c>
      <c r="I56">
        <v>1</v>
      </c>
      <c r="J56">
        <v>2</v>
      </c>
      <c r="K56">
        <v>2</v>
      </c>
      <c r="L56">
        <v>294</v>
      </c>
      <c r="M56">
        <v>118.30340695381165</v>
      </c>
      <c r="N56">
        <v>117.72909700000309</v>
      </c>
      <c r="O56">
        <v>125.00000000012065</v>
      </c>
      <c r="P56">
        <v>1</v>
      </c>
      <c r="Q56">
        <v>3</v>
      </c>
      <c r="R56">
        <v>2</v>
      </c>
      <c r="S56">
        <v>255</v>
      </c>
      <c r="T56">
        <v>152.41328716278076</v>
      </c>
      <c r="U56">
        <v>151.72529300000315</v>
      </c>
      <c r="V56">
        <v>134.99999999782671</v>
      </c>
      <c r="W56">
        <v>1</v>
      </c>
      <c r="X56">
        <v>4</v>
      </c>
      <c r="Y56">
        <v>3</v>
      </c>
      <c r="Z56">
        <v>1988</v>
      </c>
      <c r="AA56">
        <v>1578.5802788734436</v>
      </c>
      <c r="AB56">
        <v>1570.3485239999936</v>
      </c>
      <c r="AC56">
        <v>134.99999999997414</v>
      </c>
      <c r="AD56">
        <v>1</v>
      </c>
      <c r="AE56">
        <v>5</v>
      </c>
      <c r="AF56">
        <v>2</v>
      </c>
      <c r="AG56">
        <v>1716</v>
      </c>
      <c r="AH56">
        <v>1666.8525500297546</v>
      </c>
      <c r="AI56">
        <v>1657.7941769999961</v>
      </c>
      <c r="AJ56">
        <v>125.00000000593323</v>
      </c>
      <c r="AK56">
        <v>2</v>
      </c>
      <c r="AL56">
        <v>2</v>
      </c>
      <c r="AM56">
        <v>2</v>
      </c>
      <c r="AN56">
        <v>403</v>
      </c>
      <c r="AO56">
        <v>214.94966077804565</v>
      </c>
      <c r="AP56">
        <v>213.83335300000181</v>
      </c>
      <c r="AQ56">
        <v>125.00000000054438</v>
      </c>
      <c r="AR56">
        <v>125.00000000281237</v>
      </c>
      <c r="AS56">
        <v>2</v>
      </c>
      <c r="AT56">
        <v>3</v>
      </c>
      <c r="AU56">
        <v>2</v>
      </c>
      <c r="AV56">
        <v>1553</v>
      </c>
      <c r="AW56">
        <v>1229.5119640827179</v>
      </c>
      <c r="AX56">
        <v>1221.2004069999966</v>
      </c>
      <c r="AY56">
        <v>134.99999999615321</v>
      </c>
      <c r="AZ56">
        <v>134.99999999700546</v>
      </c>
      <c r="BA56">
        <v>2</v>
      </c>
      <c r="BB56">
        <v>4</v>
      </c>
      <c r="BC56">
        <v>3</v>
      </c>
      <c r="BD56">
        <v>1609</v>
      </c>
      <c r="BE56">
        <v>1737.1822149753571</v>
      </c>
      <c r="BF56">
        <v>1723.8643420000008</v>
      </c>
      <c r="BG56">
        <v>134.99999999996368</v>
      </c>
      <c r="BH56">
        <v>134.99999999998209</v>
      </c>
      <c r="BI56">
        <v>2</v>
      </c>
      <c r="BJ56">
        <v>5</v>
      </c>
      <c r="BK56">
        <v>3</v>
      </c>
      <c r="BL56">
        <v>3456</v>
      </c>
      <c r="BM56">
        <v>4600.9534518718719</v>
      </c>
      <c r="BN56">
        <v>4570.2338389999859</v>
      </c>
      <c r="BO56">
        <v>134.99999999994679</v>
      </c>
      <c r="BP56">
        <v>134.99999999998218</v>
      </c>
      <c r="BQ56">
        <v>3</v>
      </c>
      <c r="BR56">
        <v>3</v>
      </c>
      <c r="BS56">
        <v>2</v>
      </c>
      <c r="BT56">
        <v>404</v>
      </c>
      <c r="BU56">
        <v>432.82480311393738</v>
      </c>
      <c r="BV56">
        <v>430.07674300001236</v>
      </c>
      <c r="BW56">
        <v>133.33285062349191</v>
      </c>
      <c r="BX56">
        <v>125.30984388010182</v>
      </c>
      <c r="BY56">
        <v>131.97651328917124</v>
      </c>
      <c r="BZ56">
        <v>3</v>
      </c>
      <c r="CA56">
        <v>4</v>
      </c>
      <c r="CB56">
        <v>3</v>
      </c>
      <c r="CC56">
        <v>620</v>
      </c>
      <c r="CD56">
        <v>850.0549910068512</v>
      </c>
      <c r="CE56">
        <v>844.90061499999138</v>
      </c>
      <c r="CF56">
        <v>134.99999999997601</v>
      </c>
      <c r="CG56">
        <v>134.99999999997377</v>
      </c>
      <c r="CH56">
        <v>134.99999999997846</v>
      </c>
      <c r="CI56">
        <v>3</v>
      </c>
      <c r="CJ56">
        <v>5</v>
      </c>
      <c r="CK56">
        <v>5</v>
      </c>
      <c r="CL56">
        <v>3447</v>
      </c>
      <c r="CM56">
        <v>5971.2949140071869</v>
      </c>
      <c r="CN56">
        <v>5927.873894999997</v>
      </c>
      <c r="CO56">
        <v>134.99999999999966</v>
      </c>
      <c r="CP56">
        <v>125.47076703404859</v>
      </c>
      <c r="CQ56">
        <v>134.99999999999997</v>
      </c>
    </row>
    <row r="57" spans="1:95" s="8" customFormat="1" x14ac:dyDescent="0.35">
      <c r="A57">
        <v>1056</v>
      </c>
      <c r="B57">
        <v>1</v>
      </c>
      <c r="C57">
        <v>1</v>
      </c>
      <c r="D57">
        <v>2</v>
      </c>
      <c r="E57">
        <v>436</v>
      </c>
      <c r="F57">
        <v>87.04712700843811</v>
      </c>
      <c r="G57">
        <v>86.637357999992673</v>
      </c>
      <c r="H57">
        <v>125.00235572771942</v>
      </c>
      <c r="I57">
        <v>1</v>
      </c>
      <c r="J57">
        <v>2</v>
      </c>
      <c r="K57">
        <v>2</v>
      </c>
      <c r="L57">
        <v>378</v>
      </c>
      <c r="M57">
        <v>211.3925621509552</v>
      </c>
      <c r="N57">
        <v>209.71878399999696</v>
      </c>
      <c r="O57">
        <v>125.00235572771942</v>
      </c>
      <c r="P57">
        <v>1</v>
      </c>
      <c r="Q57">
        <v>3</v>
      </c>
      <c r="R57">
        <v>2</v>
      </c>
      <c r="S57">
        <v>368</v>
      </c>
      <c r="T57">
        <v>218.53591704368591</v>
      </c>
      <c r="U57">
        <v>217.18504700000631</v>
      </c>
      <c r="V57">
        <v>125.00302505501944</v>
      </c>
      <c r="W57">
        <v>1</v>
      </c>
      <c r="X57">
        <v>4</v>
      </c>
      <c r="Y57">
        <v>3</v>
      </c>
      <c r="Z57">
        <v>358</v>
      </c>
      <c r="AA57">
        <v>281.60668206214905</v>
      </c>
      <c r="AB57">
        <v>280.0428649999958</v>
      </c>
      <c r="AC57">
        <v>125.00000000010745</v>
      </c>
      <c r="AD57">
        <v>1</v>
      </c>
      <c r="AE57">
        <v>5</v>
      </c>
      <c r="AF57">
        <v>3</v>
      </c>
      <c r="AG57">
        <v>2274</v>
      </c>
      <c r="AH57">
        <v>2273.0327978134155</v>
      </c>
      <c r="AI57">
        <v>2256.6934540000075</v>
      </c>
      <c r="AJ57">
        <v>125.0000000001266</v>
      </c>
      <c r="AK57">
        <v>2</v>
      </c>
      <c r="AL57">
        <v>2</v>
      </c>
      <c r="AM57">
        <v>2</v>
      </c>
      <c r="AN57">
        <v>365</v>
      </c>
      <c r="AO57">
        <v>192.5775990486145</v>
      </c>
      <c r="AP57">
        <v>191.5308420000074</v>
      </c>
      <c r="AQ57">
        <v>125.00235572771942</v>
      </c>
      <c r="AR57">
        <v>127.23787169640319</v>
      </c>
      <c r="AS57">
        <v>2</v>
      </c>
      <c r="AT57">
        <v>3</v>
      </c>
      <c r="AU57">
        <v>2</v>
      </c>
      <c r="AV57">
        <v>373</v>
      </c>
      <c r="AW57">
        <v>312.40334391593933</v>
      </c>
      <c r="AX57">
        <v>309.46171699999832</v>
      </c>
      <c r="AY57">
        <v>125.65344442713953</v>
      </c>
      <c r="AZ57">
        <v>125.01124202926862</v>
      </c>
      <c r="BA57">
        <v>2</v>
      </c>
      <c r="BB57">
        <v>4</v>
      </c>
      <c r="BC57">
        <v>3</v>
      </c>
      <c r="BD57">
        <v>554</v>
      </c>
      <c r="BE57">
        <v>754.02072381973267</v>
      </c>
      <c r="BF57">
        <v>748.74673300000723</v>
      </c>
      <c r="BG57">
        <v>125.00000000012115</v>
      </c>
      <c r="BH57">
        <v>125.00000000009666</v>
      </c>
      <c r="BI57">
        <v>2</v>
      </c>
      <c r="BJ57">
        <v>5</v>
      </c>
      <c r="BK57">
        <v>2</v>
      </c>
      <c r="BL57">
        <v>686</v>
      </c>
      <c r="BM57">
        <v>1102.8154580593109</v>
      </c>
      <c r="BN57">
        <v>1092.2771540000103</v>
      </c>
      <c r="BO57">
        <v>125.00235572771942</v>
      </c>
      <c r="BP57">
        <v>125.00468846062684</v>
      </c>
      <c r="BQ57">
        <v>3</v>
      </c>
      <c r="BR57">
        <v>3</v>
      </c>
      <c r="BS57">
        <v>2</v>
      </c>
      <c r="BT57">
        <v>548</v>
      </c>
      <c r="BU57">
        <v>544.12510204315186</v>
      </c>
      <c r="BV57">
        <v>540.46391499998572</v>
      </c>
      <c r="BW57">
        <v>125.05313469554781</v>
      </c>
      <c r="BX57">
        <v>125.00111468684833</v>
      </c>
      <c r="BY57">
        <v>125.10178329223021</v>
      </c>
      <c r="BZ57">
        <v>3</v>
      </c>
      <c r="CA57">
        <v>4</v>
      </c>
      <c r="CB57">
        <v>2</v>
      </c>
      <c r="CC57">
        <v>487</v>
      </c>
      <c r="CD57">
        <v>640.81678295135498</v>
      </c>
      <c r="CE57">
        <v>636.8227249999909</v>
      </c>
      <c r="CF57">
        <v>125.04235140921091</v>
      </c>
      <c r="CG57">
        <v>125.16326324268702</v>
      </c>
      <c r="CH57">
        <v>125.00015044469241</v>
      </c>
      <c r="CI57">
        <v>3</v>
      </c>
      <c r="CJ57">
        <v>5</v>
      </c>
      <c r="CK57">
        <v>2</v>
      </c>
      <c r="CL57">
        <v>770</v>
      </c>
      <c r="CM57">
        <v>1299.7056310176849</v>
      </c>
      <c r="CN57">
        <v>1291.117259000006</v>
      </c>
      <c r="CO57">
        <v>125.59817720405928</v>
      </c>
      <c r="CP57">
        <v>125.0002338497243</v>
      </c>
      <c r="CQ57">
        <v>125.006693011281</v>
      </c>
    </row>
    <row r="58" spans="1:95" s="8" customFormat="1" x14ac:dyDescent="0.35">
      <c r="A58">
        <v>1057</v>
      </c>
      <c r="B58">
        <v>1</v>
      </c>
      <c r="C58">
        <v>1</v>
      </c>
      <c r="D58">
        <v>3</v>
      </c>
      <c r="E58">
        <v>262</v>
      </c>
      <c r="F58">
        <v>52.533058881759644</v>
      </c>
      <c r="G58">
        <v>52.312741999994614</v>
      </c>
      <c r="H58">
        <v>125.0000000002639</v>
      </c>
      <c r="I58">
        <v>1</v>
      </c>
      <c r="J58">
        <v>2</v>
      </c>
      <c r="K58">
        <v>3</v>
      </c>
      <c r="L58">
        <v>690</v>
      </c>
      <c r="M58">
        <v>271.81417489051819</v>
      </c>
      <c r="N58">
        <v>270.02770899998723</v>
      </c>
      <c r="O58">
        <v>125.00000000031987</v>
      </c>
      <c r="P58">
        <v>1</v>
      </c>
      <c r="Q58">
        <v>3</v>
      </c>
      <c r="R58">
        <v>3</v>
      </c>
      <c r="S58">
        <v>204</v>
      </c>
      <c r="T58">
        <v>129.53881287574768</v>
      </c>
      <c r="U58">
        <v>128.71292400000675</v>
      </c>
      <c r="V58">
        <v>125.00000000034767</v>
      </c>
      <c r="W58">
        <v>1</v>
      </c>
      <c r="X58">
        <v>4</v>
      </c>
      <c r="Y58">
        <v>3</v>
      </c>
      <c r="Z58">
        <v>365</v>
      </c>
      <c r="AA58">
        <v>293.22860884666443</v>
      </c>
      <c r="AB58">
        <v>291.29648000000452</v>
      </c>
      <c r="AC58">
        <v>125.00000000029944</v>
      </c>
      <c r="AD58">
        <v>1</v>
      </c>
      <c r="AE58">
        <v>5</v>
      </c>
      <c r="AF58">
        <v>3</v>
      </c>
      <c r="AG58">
        <v>363</v>
      </c>
      <c r="AH58">
        <v>359.42448306083679</v>
      </c>
      <c r="AI58">
        <v>357.01162900000054</v>
      </c>
      <c r="AJ58">
        <v>125.00000000032473</v>
      </c>
      <c r="AK58">
        <v>2</v>
      </c>
      <c r="AL58">
        <v>2</v>
      </c>
      <c r="AM58">
        <v>3</v>
      </c>
      <c r="AN58">
        <v>307</v>
      </c>
      <c r="AO58">
        <v>156.87528681755066</v>
      </c>
      <c r="AP58">
        <v>156.37233499999274</v>
      </c>
      <c r="AQ58">
        <v>125.00000000025713</v>
      </c>
      <c r="AR58">
        <v>125.00000000042314</v>
      </c>
      <c r="AS58">
        <v>2</v>
      </c>
      <c r="AT58">
        <v>3</v>
      </c>
      <c r="AU58">
        <v>3</v>
      </c>
      <c r="AV58">
        <v>1184</v>
      </c>
      <c r="AW58">
        <v>1015.4817368984222</v>
      </c>
      <c r="AX58">
        <v>1007.9822750000167</v>
      </c>
      <c r="AY58">
        <v>125.00000000042577</v>
      </c>
      <c r="AZ58">
        <v>125.0000000002868</v>
      </c>
      <c r="BA58">
        <v>2</v>
      </c>
      <c r="BB58">
        <v>4</v>
      </c>
      <c r="BC58">
        <v>3</v>
      </c>
      <c r="BD58">
        <v>2407</v>
      </c>
      <c r="BE58">
        <v>2655.91544008255</v>
      </c>
      <c r="BF58">
        <v>2637.0470739999873</v>
      </c>
      <c r="BG58">
        <v>125.00000000069768</v>
      </c>
      <c r="BH58">
        <v>125.00000000019114</v>
      </c>
      <c r="BI58">
        <v>2</v>
      </c>
      <c r="BJ58">
        <v>5</v>
      </c>
      <c r="BK58">
        <v>3</v>
      </c>
      <c r="BL58">
        <v>1347</v>
      </c>
      <c r="BM58">
        <v>1833.0870609283447</v>
      </c>
      <c r="BN58">
        <v>1818.8865170000063</v>
      </c>
      <c r="BO58">
        <v>125.00000000113069</v>
      </c>
      <c r="BP58">
        <v>125.0000000001809</v>
      </c>
      <c r="BQ58">
        <v>3</v>
      </c>
      <c r="BR58">
        <v>3</v>
      </c>
      <c r="BS58">
        <v>3</v>
      </c>
      <c r="BT58">
        <v>1472</v>
      </c>
      <c r="BU58">
        <v>1483.4490478038788</v>
      </c>
      <c r="BV58">
        <v>1472.025357999999</v>
      </c>
      <c r="BW58">
        <v>125.0000000002801</v>
      </c>
      <c r="BX58">
        <v>125.00000000033879</v>
      </c>
      <c r="BY58">
        <v>125.0000000004258</v>
      </c>
      <c r="BZ58">
        <v>3</v>
      </c>
      <c r="CA58">
        <v>4</v>
      </c>
      <c r="CB58">
        <v>3</v>
      </c>
      <c r="CC58">
        <v>1154</v>
      </c>
      <c r="CD58">
        <v>1526.6690359115601</v>
      </c>
      <c r="CE58">
        <v>1515.2341820000001</v>
      </c>
      <c r="CF58">
        <v>125.00000000046498</v>
      </c>
      <c r="CG58">
        <v>125.00000000044163</v>
      </c>
      <c r="CH58">
        <v>125.00000000017855</v>
      </c>
      <c r="CI58">
        <v>3</v>
      </c>
      <c r="CJ58">
        <v>5</v>
      </c>
      <c r="CK58">
        <v>2</v>
      </c>
      <c r="CL58">
        <v>494</v>
      </c>
      <c r="CM58">
        <v>838.37604403495789</v>
      </c>
      <c r="CN58">
        <v>832.11602999999013</v>
      </c>
      <c r="CO58">
        <v>128.13905723038172</v>
      </c>
      <c r="CP58">
        <v>127.84941951419485</v>
      </c>
      <c r="CQ58">
        <v>125.0171510263776</v>
      </c>
    </row>
    <row r="59" spans="1:95" s="8" customFormat="1" x14ac:dyDescent="0.35">
      <c r="A59">
        <v>1058</v>
      </c>
      <c r="B59">
        <v>1</v>
      </c>
      <c r="C59">
        <v>1</v>
      </c>
      <c r="D59">
        <v>2</v>
      </c>
      <c r="E59">
        <v>393</v>
      </c>
      <c r="F59">
        <v>78.004290819168091</v>
      </c>
      <c r="G59">
        <v>77.649531999995816</v>
      </c>
      <c r="H59">
        <v>125.02692828152612</v>
      </c>
      <c r="I59">
        <v>1</v>
      </c>
      <c r="J59">
        <v>2</v>
      </c>
      <c r="K59">
        <v>3</v>
      </c>
      <c r="L59">
        <v>243</v>
      </c>
      <c r="M59">
        <v>104.30912804603577</v>
      </c>
      <c r="N59">
        <v>103.46665699999721</v>
      </c>
      <c r="O59">
        <v>125.00000000019544</v>
      </c>
      <c r="P59">
        <v>1</v>
      </c>
      <c r="Q59">
        <v>3</v>
      </c>
      <c r="R59">
        <v>3</v>
      </c>
      <c r="S59">
        <v>591</v>
      </c>
      <c r="T59">
        <v>382.12366104125977</v>
      </c>
      <c r="U59">
        <v>379.15931800000544</v>
      </c>
      <c r="V59">
        <v>125.00000000021338</v>
      </c>
      <c r="W59">
        <v>1</v>
      </c>
      <c r="X59">
        <v>4</v>
      </c>
      <c r="Y59">
        <v>2</v>
      </c>
      <c r="Z59">
        <v>206</v>
      </c>
      <c r="AA59">
        <v>164.22459292411804</v>
      </c>
      <c r="AB59">
        <v>163.50957600001129</v>
      </c>
      <c r="AC59">
        <v>125.0002390546049</v>
      </c>
      <c r="AD59">
        <v>1</v>
      </c>
      <c r="AE59">
        <v>5</v>
      </c>
      <c r="AF59">
        <v>3</v>
      </c>
      <c r="AG59">
        <v>548</v>
      </c>
      <c r="AH59">
        <v>597.09400486946106</v>
      </c>
      <c r="AI59">
        <v>592.97218999998586</v>
      </c>
      <c r="AJ59">
        <v>125.0002084836335</v>
      </c>
      <c r="AK59">
        <v>2</v>
      </c>
      <c r="AL59">
        <v>2</v>
      </c>
      <c r="AM59">
        <v>3</v>
      </c>
      <c r="AN59">
        <v>1527</v>
      </c>
      <c r="AO59">
        <v>872.41876316070557</v>
      </c>
      <c r="AP59">
        <v>865.44384100000025</v>
      </c>
      <c r="AQ59">
        <v>125.00000000013725</v>
      </c>
      <c r="AR59">
        <v>125.00000000033934</v>
      </c>
      <c r="AS59">
        <v>2</v>
      </c>
      <c r="AT59">
        <v>3</v>
      </c>
      <c r="AU59">
        <v>2</v>
      </c>
      <c r="AV59">
        <v>776</v>
      </c>
      <c r="AW59">
        <v>624.14114999771118</v>
      </c>
      <c r="AX59">
        <v>619.40229699999327</v>
      </c>
      <c r="AY59">
        <v>125.02846386406924</v>
      </c>
      <c r="AZ59">
        <v>125.00021327452058</v>
      </c>
      <c r="BA59">
        <v>2</v>
      </c>
      <c r="BB59">
        <v>4</v>
      </c>
      <c r="BC59">
        <v>2</v>
      </c>
      <c r="BD59">
        <v>766</v>
      </c>
      <c r="BE59">
        <v>985.84317493438721</v>
      </c>
      <c r="BF59">
        <v>978.79924700000265</v>
      </c>
      <c r="BG59">
        <v>125.02846297678903</v>
      </c>
      <c r="BH59">
        <v>125.00006931081855</v>
      </c>
      <c r="BI59">
        <v>2</v>
      </c>
      <c r="BJ59">
        <v>5</v>
      </c>
      <c r="BK59">
        <v>2</v>
      </c>
      <c r="BL59">
        <v>551</v>
      </c>
      <c r="BM59">
        <v>784.45773482322693</v>
      </c>
      <c r="BN59">
        <v>778.63080099999206</v>
      </c>
      <c r="BO59">
        <v>128.19545117220457</v>
      </c>
      <c r="BP59">
        <v>125.00120760020107</v>
      </c>
      <c r="BQ59">
        <v>3</v>
      </c>
      <c r="BR59">
        <v>3</v>
      </c>
      <c r="BS59">
        <v>3</v>
      </c>
      <c r="BT59">
        <v>692</v>
      </c>
      <c r="BU59">
        <v>697.65970396995544</v>
      </c>
      <c r="BV59">
        <v>691.87919599999441</v>
      </c>
      <c r="BW59">
        <v>125.00000000012915</v>
      </c>
      <c r="BX59">
        <v>125.00000000024401</v>
      </c>
      <c r="BY59">
        <v>125.00000000043438</v>
      </c>
      <c r="BZ59">
        <v>3</v>
      </c>
      <c r="CA59">
        <v>4</v>
      </c>
      <c r="CB59">
        <v>2</v>
      </c>
      <c r="CC59">
        <v>1126</v>
      </c>
      <c r="CD59">
        <v>1589.9025070667267</v>
      </c>
      <c r="CE59">
        <v>1573.3796860000148</v>
      </c>
      <c r="CF59">
        <v>125.00859794844135</v>
      </c>
      <c r="CG59">
        <v>126.3451450584098</v>
      </c>
      <c r="CH59">
        <v>125.00073150670926</v>
      </c>
      <c r="CI59">
        <v>3</v>
      </c>
      <c r="CJ59">
        <v>5</v>
      </c>
      <c r="CK59">
        <v>2</v>
      </c>
      <c r="CL59">
        <v>739</v>
      </c>
      <c r="CM59">
        <v>1566.4942338466644</v>
      </c>
      <c r="CN59">
        <v>1554.3173740000057</v>
      </c>
      <c r="CO59">
        <v>125.00023975324488</v>
      </c>
      <c r="CP59">
        <v>125.00039191367019</v>
      </c>
      <c r="CQ59">
        <v>125.00021221981032</v>
      </c>
    </row>
    <row r="60" spans="1:95" s="8" customFormat="1" x14ac:dyDescent="0.35">
      <c r="A60">
        <v>1059</v>
      </c>
      <c r="B60">
        <v>1</v>
      </c>
      <c r="C60">
        <v>1</v>
      </c>
      <c r="D60">
        <v>3</v>
      </c>
      <c r="E60">
        <v>270</v>
      </c>
      <c r="F60">
        <v>69.198938846588135</v>
      </c>
      <c r="G60">
        <v>68.864243999996688</v>
      </c>
      <c r="H60">
        <v>125.00000000014242</v>
      </c>
      <c r="I60">
        <v>1</v>
      </c>
      <c r="J60">
        <v>2</v>
      </c>
      <c r="K60">
        <v>3</v>
      </c>
      <c r="L60">
        <v>92</v>
      </c>
      <c r="M60">
        <v>46.791406869888306</v>
      </c>
      <c r="N60">
        <v>46.495296999986749</v>
      </c>
      <c r="O60">
        <v>125.00000000014995</v>
      </c>
      <c r="P60">
        <v>1</v>
      </c>
      <c r="Q60">
        <v>3</v>
      </c>
      <c r="R60">
        <v>3</v>
      </c>
      <c r="S60">
        <v>255</v>
      </c>
      <c r="T60">
        <v>195.11364197731018</v>
      </c>
      <c r="U60">
        <v>194.00115399999777</v>
      </c>
      <c r="V60">
        <v>125.00000000020535</v>
      </c>
      <c r="W60">
        <v>1</v>
      </c>
      <c r="X60">
        <v>4</v>
      </c>
      <c r="Y60">
        <v>3</v>
      </c>
      <c r="Z60">
        <v>213</v>
      </c>
      <c r="AA60">
        <v>216.49927997589111</v>
      </c>
      <c r="AB60">
        <v>215.34509499999695</v>
      </c>
      <c r="AC60">
        <v>125.00000000032104</v>
      </c>
      <c r="AD60">
        <v>1</v>
      </c>
      <c r="AE60">
        <v>5</v>
      </c>
      <c r="AF60">
        <v>3</v>
      </c>
      <c r="AG60">
        <v>4624</v>
      </c>
      <c r="AH60">
        <v>5669.3598999977112</v>
      </c>
      <c r="AI60">
        <v>5631.7084519999917</v>
      </c>
      <c r="AJ60">
        <v>125.00000000034069</v>
      </c>
      <c r="AK60">
        <v>2</v>
      </c>
      <c r="AL60">
        <v>2</v>
      </c>
      <c r="AM60">
        <v>2</v>
      </c>
      <c r="AN60">
        <v>938</v>
      </c>
      <c r="AO60">
        <v>629.53204607963562</v>
      </c>
      <c r="AP60">
        <v>625.88575299999502</v>
      </c>
      <c r="AQ60">
        <v>125.00092522745149</v>
      </c>
      <c r="AR60">
        <v>125.00999168886071</v>
      </c>
      <c r="AS60">
        <v>2</v>
      </c>
      <c r="AT60">
        <v>3</v>
      </c>
      <c r="AU60">
        <v>2</v>
      </c>
      <c r="AV60">
        <v>377</v>
      </c>
      <c r="AW60">
        <v>381.75320911407471</v>
      </c>
      <c r="AX60">
        <v>379.46333700000832</v>
      </c>
      <c r="AY60">
        <v>127.20044823296996</v>
      </c>
      <c r="AZ60">
        <v>125.00398011475485</v>
      </c>
      <c r="BA60">
        <v>2</v>
      </c>
      <c r="BB60">
        <v>4</v>
      </c>
      <c r="BC60">
        <v>2</v>
      </c>
      <c r="BD60">
        <v>520</v>
      </c>
      <c r="BE60">
        <v>699.99288415908813</v>
      </c>
      <c r="BF60">
        <v>695.91966199998569</v>
      </c>
      <c r="BG60">
        <v>128.54307081206525</v>
      </c>
      <c r="BH60">
        <v>125.00027144261182</v>
      </c>
      <c r="BI60">
        <v>2</v>
      </c>
      <c r="BJ60">
        <v>5</v>
      </c>
      <c r="BK60">
        <v>2</v>
      </c>
      <c r="BL60">
        <v>380</v>
      </c>
      <c r="BM60">
        <v>611.79583692550659</v>
      </c>
      <c r="BN60">
        <v>608.15915200000745</v>
      </c>
      <c r="BO60">
        <v>128.63860686905574</v>
      </c>
      <c r="BP60">
        <v>125.00558650206301</v>
      </c>
      <c r="BQ60">
        <v>3</v>
      </c>
      <c r="BR60">
        <v>3</v>
      </c>
      <c r="BS60">
        <v>2</v>
      </c>
      <c r="BT60">
        <v>372</v>
      </c>
      <c r="BU60">
        <v>349.96532201766968</v>
      </c>
      <c r="BV60">
        <v>347.88842200001818</v>
      </c>
      <c r="BW60">
        <v>125.44859375285492</v>
      </c>
      <c r="BX60">
        <v>125.00135971711103</v>
      </c>
      <c r="BY60">
        <v>126.75853086717859</v>
      </c>
      <c r="BZ60">
        <v>3</v>
      </c>
      <c r="CA60">
        <v>4</v>
      </c>
      <c r="CB60">
        <v>2</v>
      </c>
      <c r="CC60">
        <v>545</v>
      </c>
      <c r="CD60">
        <v>683.99067997932434</v>
      </c>
      <c r="CE60">
        <v>680.00667600001907</v>
      </c>
      <c r="CF60">
        <v>125.18470411724681</v>
      </c>
      <c r="CG60">
        <v>125.00428165241</v>
      </c>
      <c r="CH60">
        <v>125.00082552773173</v>
      </c>
      <c r="CI60">
        <v>3</v>
      </c>
      <c r="CJ60">
        <v>5</v>
      </c>
      <c r="CK60">
        <v>2</v>
      </c>
      <c r="CL60">
        <v>363</v>
      </c>
      <c r="CM60">
        <v>572.86865305900574</v>
      </c>
      <c r="CN60">
        <v>569.30311300000176</v>
      </c>
      <c r="CO60">
        <v>127.85260606781922</v>
      </c>
      <c r="CP60">
        <v>127.43946066049494</v>
      </c>
      <c r="CQ60">
        <v>125.00175416474771</v>
      </c>
    </row>
    <row r="61" spans="1:95" s="8" customFormat="1" x14ac:dyDescent="0.35">
      <c r="A61">
        <v>1060</v>
      </c>
      <c r="B61">
        <v>1</v>
      </c>
      <c r="C61">
        <v>1</v>
      </c>
      <c r="D61">
        <v>3</v>
      </c>
      <c r="E61">
        <v>119</v>
      </c>
      <c r="F61">
        <v>23.32794189453125</v>
      </c>
      <c r="G61">
        <v>23.252110000015819</v>
      </c>
      <c r="H61">
        <v>125.00000000008136</v>
      </c>
      <c r="I61">
        <v>1</v>
      </c>
      <c r="J61">
        <v>2</v>
      </c>
      <c r="K61">
        <v>3</v>
      </c>
      <c r="L61">
        <v>114</v>
      </c>
      <c r="M61">
        <v>43.413911104202271</v>
      </c>
      <c r="N61">
        <v>43.286126999999397</v>
      </c>
      <c r="O61">
        <v>125.0000000001239</v>
      </c>
      <c r="P61">
        <v>1</v>
      </c>
      <c r="Q61">
        <v>3</v>
      </c>
      <c r="R61">
        <v>3</v>
      </c>
      <c r="S61">
        <v>1376</v>
      </c>
      <c r="T61">
        <v>876.70452094078064</v>
      </c>
      <c r="U61">
        <v>870.49340900000243</v>
      </c>
      <c r="V61">
        <v>125.00000000017837</v>
      </c>
      <c r="W61">
        <v>1</v>
      </c>
      <c r="X61">
        <v>4</v>
      </c>
      <c r="Y61">
        <v>3</v>
      </c>
      <c r="Z61">
        <v>106</v>
      </c>
      <c r="AA61">
        <v>89.713947057723999</v>
      </c>
      <c r="AB61">
        <v>89.372231000001193</v>
      </c>
      <c r="AC61">
        <v>125.0000000002845</v>
      </c>
      <c r="AD61">
        <v>1</v>
      </c>
      <c r="AE61">
        <v>5</v>
      </c>
      <c r="AF61">
        <v>3</v>
      </c>
      <c r="AG61">
        <v>2122</v>
      </c>
      <c r="AH61">
        <v>2426.2193768024445</v>
      </c>
      <c r="AI61">
        <v>2409.4517259999993</v>
      </c>
      <c r="AJ61">
        <v>125.00000000045443</v>
      </c>
      <c r="AK61">
        <v>2</v>
      </c>
      <c r="AL61">
        <v>2</v>
      </c>
      <c r="AM61">
        <v>3</v>
      </c>
      <c r="AN61">
        <v>134</v>
      </c>
      <c r="AO61">
        <v>75.134277105331421</v>
      </c>
      <c r="AP61">
        <v>74.78768900000432</v>
      </c>
      <c r="AQ61">
        <v>125.00000000009454</v>
      </c>
      <c r="AR61">
        <v>125.00000000017972</v>
      </c>
      <c r="AS61">
        <v>2</v>
      </c>
      <c r="AT61">
        <v>3</v>
      </c>
      <c r="AU61">
        <v>3</v>
      </c>
      <c r="AV61">
        <v>500</v>
      </c>
      <c r="AW61">
        <v>399.25773811340332</v>
      </c>
      <c r="AX61">
        <v>397.18497199998819</v>
      </c>
      <c r="AY61">
        <v>125.00000000018414</v>
      </c>
      <c r="AZ61">
        <v>125.00000000017272</v>
      </c>
      <c r="BA61">
        <v>2</v>
      </c>
      <c r="BB61">
        <v>4</v>
      </c>
      <c r="BC61">
        <v>3</v>
      </c>
      <c r="BD61">
        <v>204</v>
      </c>
      <c r="BE61">
        <v>221.34510707855225</v>
      </c>
      <c r="BF61">
        <v>220.38875099999132</v>
      </c>
      <c r="BG61">
        <v>125.00000000037424</v>
      </c>
      <c r="BH61">
        <v>125.00000000023192</v>
      </c>
      <c r="BI61">
        <v>2</v>
      </c>
      <c r="BJ61">
        <v>5</v>
      </c>
      <c r="BK61">
        <v>3</v>
      </c>
      <c r="BL61">
        <v>556</v>
      </c>
      <c r="BM61">
        <v>744.79704117774963</v>
      </c>
      <c r="BN61">
        <v>740.73014899998088</v>
      </c>
      <c r="BO61">
        <v>125.00000000071869</v>
      </c>
      <c r="BP61">
        <v>125.00000000033405</v>
      </c>
      <c r="BQ61">
        <v>3</v>
      </c>
      <c r="BR61">
        <v>3</v>
      </c>
      <c r="BS61">
        <v>3</v>
      </c>
      <c r="BT61">
        <v>388</v>
      </c>
      <c r="BU61">
        <v>393.58087801933289</v>
      </c>
      <c r="BV61">
        <v>391.41603899998881</v>
      </c>
      <c r="BW61">
        <v>125.00000000012275</v>
      </c>
      <c r="BX61">
        <v>125.00000000017404</v>
      </c>
      <c r="BY61">
        <v>125.00000000034025</v>
      </c>
      <c r="BZ61">
        <v>3</v>
      </c>
      <c r="CA61">
        <v>4</v>
      </c>
      <c r="CB61">
        <v>2</v>
      </c>
      <c r="CC61">
        <v>592</v>
      </c>
      <c r="CD61">
        <v>796.8095109462738</v>
      </c>
      <c r="CE61">
        <v>792.31408199999714</v>
      </c>
      <c r="CF61">
        <v>125.00022425945951</v>
      </c>
      <c r="CG61">
        <v>126.06646847394744</v>
      </c>
      <c r="CH61">
        <v>125.00022545725403</v>
      </c>
      <c r="CI61">
        <v>3</v>
      </c>
      <c r="CJ61">
        <v>5</v>
      </c>
      <c r="CK61">
        <v>3</v>
      </c>
      <c r="CL61">
        <v>202</v>
      </c>
      <c r="CM61">
        <v>333.97236394882202</v>
      </c>
      <c r="CN61">
        <v>332.75979499999085</v>
      </c>
      <c r="CO61">
        <v>125.00000000047912</v>
      </c>
      <c r="CP61">
        <v>125.0000000005667</v>
      </c>
      <c r="CQ61">
        <v>125.00000000036775</v>
      </c>
    </row>
    <row r="62" spans="1:95" s="8" customFormat="1" x14ac:dyDescent="0.35">
      <c r="A62">
        <v>1061</v>
      </c>
      <c r="B62">
        <v>1</v>
      </c>
      <c r="C62">
        <v>1</v>
      </c>
      <c r="D62">
        <v>3</v>
      </c>
      <c r="E62">
        <v>244</v>
      </c>
      <c r="F62">
        <v>59.214182138442993</v>
      </c>
      <c r="G62">
        <v>58.939427999999907</v>
      </c>
      <c r="H62">
        <v>125.00000000005603</v>
      </c>
      <c r="I62">
        <v>1</v>
      </c>
      <c r="J62">
        <v>2</v>
      </c>
      <c r="K62">
        <v>2</v>
      </c>
      <c r="L62">
        <v>202</v>
      </c>
      <c r="M62">
        <v>97.578253984451294</v>
      </c>
      <c r="N62">
        <v>97.090870999999993</v>
      </c>
      <c r="O62">
        <v>129.9919727917719</v>
      </c>
      <c r="P62">
        <v>1</v>
      </c>
      <c r="Q62">
        <v>3</v>
      </c>
      <c r="R62">
        <v>2</v>
      </c>
      <c r="S62">
        <v>369</v>
      </c>
      <c r="T62">
        <v>283.83417677879333</v>
      </c>
      <c r="U62">
        <v>278.25865000000022</v>
      </c>
      <c r="V62">
        <v>125.01642546354086</v>
      </c>
      <c r="W62">
        <v>1</v>
      </c>
      <c r="X62">
        <v>4</v>
      </c>
      <c r="Y62">
        <v>2</v>
      </c>
      <c r="Z62">
        <v>718</v>
      </c>
      <c r="AA62">
        <v>808.07227778434753</v>
      </c>
      <c r="AB62">
        <v>791.28600600000004</v>
      </c>
      <c r="AC62">
        <v>125.01641732056341</v>
      </c>
      <c r="AD62">
        <v>1</v>
      </c>
      <c r="AE62">
        <v>5</v>
      </c>
      <c r="AF62">
        <v>2</v>
      </c>
      <c r="AG62">
        <v>1189</v>
      </c>
      <c r="AH62">
        <v>1479.5649819374084</v>
      </c>
      <c r="AI62">
        <v>1452.6538579999999</v>
      </c>
      <c r="AJ62">
        <v>129.79874690333486</v>
      </c>
      <c r="AK62">
        <v>2</v>
      </c>
      <c r="AL62">
        <v>2</v>
      </c>
      <c r="AM62">
        <v>2</v>
      </c>
      <c r="AN62">
        <v>595</v>
      </c>
      <c r="AO62">
        <v>391.71255707740784</v>
      </c>
      <c r="AP62">
        <v>381.369103</v>
      </c>
      <c r="AQ62">
        <v>125.63864834154309</v>
      </c>
      <c r="AR62">
        <v>125.07166091373</v>
      </c>
      <c r="AS62">
        <v>2</v>
      </c>
      <c r="AT62">
        <v>3</v>
      </c>
      <c r="AU62">
        <v>2</v>
      </c>
      <c r="AV62">
        <v>401</v>
      </c>
      <c r="AW62">
        <v>389.27314805984497</v>
      </c>
      <c r="AX62">
        <v>382.70623399999977</v>
      </c>
      <c r="AY62">
        <v>128.76570193130991</v>
      </c>
      <c r="AZ62">
        <v>125.00063570948392</v>
      </c>
      <c r="BA62">
        <v>2</v>
      </c>
      <c r="BB62">
        <v>4</v>
      </c>
      <c r="BC62">
        <v>2</v>
      </c>
      <c r="BD62">
        <v>399</v>
      </c>
      <c r="BE62">
        <v>522.35571002960205</v>
      </c>
      <c r="BF62">
        <v>509.37239699999964</v>
      </c>
      <c r="BG62">
        <v>125.00016850045732</v>
      </c>
      <c r="BH62">
        <v>125.00571843490161</v>
      </c>
      <c r="BI62">
        <v>2</v>
      </c>
      <c r="BJ62">
        <v>5</v>
      </c>
      <c r="BK62">
        <v>2</v>
      </c>
      <c r="BL62">
        <v>658</v>
      </c>
      <c r="BM62">
        <v>1064.1740670204163</v>
      </c>
      <c r="BN62">
        <v>1045.2082349999991</v>
      </c>
      <c r="BO62">
        <v>126.58548357718607</v>
      </c>
      <c r="BP62">
        <v>125.07408314982408</v>
      </c>
      <c r="BQ62">
        <v>3</v>
      </c>
      <c r="BR62">
        <v>3</v>
      </c>
      <c r="BS62">
        <v>2</v>
      </c>
      <c r="BT62">
        <v>390</v>
      </c>
      <c r="BU62">
        <v>474.19262218475342</v>
      </c>
      <c r="BV62">
        <v>463.19142000000011</v>
      </c>
      <c r="BW62">
        <v>128.46940827376412</v>
      </c>
      <c r="BX62">
        <v>125.00034699711057</v>
      </c>
      <c r="BY62">
        <v>125.06107438729966</v>
      </c>
      <c r="BZ62">
        <v>3</v>
      </c>
      <c r="CA62">
        <v>4</v>
      </c>
      <c r="CB62">
        <v>3</v>
      </c>
      <c r="CC62">
        <v>526</v>
      </c>
      <c r="CD62">
        <v>838.19658398628235</v>
      </c>
      <c r="CE62">
        <v>823.29753899999923</v>
      </c>
      <c r="CF62">
        <v>125.0000000000734</v>
      </c>
      <c r="CG62">
        <v>125.00000000011441</v>
      </c>
      <c r="CH62">
        <v>125.00000000011769</v>
      </c>
      <c r="CI62">
        <v>3</v>
      </c>
      <c r="CJ62">
        <v>5</v>
      </c>
      <c r="CK62">
        <v>2</v>
      </c>
      <c r="CL62">
        <v>382</v>
      </c>
      <c r="CM62">
        <v>753.06870698928833</v>
      </c>
      <c r="CN62">
        <v>741.28327999999965</v>
      </c>
      <c r="CO62">
        <v>127.32378291827369</v>
      </c>
      <c r="CP62">
        <v>127.29877317803334</v>
      </c>
      <c r="CQ62">
        <v>125.03049555052078</v>
      </c>
    </row>
    <row r="63" spans="1:95" s="8" customFormat="1" x14ac:dyDescent="0.35">
      <c r="A63">
        <v>1062</v>
      </c>
      <c r="B63">
        <v>1</v>
      </c>
      <c r="C63">
        <v>1</v>
      </c>
      <c r="D63">
        <v>3</v>
      </c>
      <c r="E63">
        <v>255</v>
      </c>
      <c r="F63">
        <v>60.208461046218872</v>
      </c>
      <c r="G63">
        <v>59.671468999999888</v>
      </c>
      <c r="H63">
        <v>125.0000000001281</v>
      </c>
      <c r="I63">
        <v>1</v>
      </c>
      <c r="J63">
        <v>2</v>
      </c>
      <c r="K63">
        <v>2</v>
      </c>
      <c r="L63">
        <v>384</v>
      </c>
      <c r="M63">
        <v>180.52751684188843</v>
      </c>
      <c r="N63">
        <v>179.25149299999975</v>
      </c>
      <c r="O63">
        <v>125.0030430606961</v>
      </c>
      <c r="P63">
        <v>1</v>
      </c>
      <c r="Q63">
        <v>3</v>
      </c>
      <c r="R63">
        <v>2</v>
      </c>
      <c r="S63">
        <v>464</v>
      </c>
      <c r="T63">
        <v>326.94247698783875</v>
      </c>
      <c r="U63">
        <v>324.83650699999998</v>
      </c>
      <c r="V63">
        <v>125.00304306069607</v>
      </c>
      <c r="W63">
        <v>1</v>
      </c>
      <c r="X63">
        <v>4</v>
      </c>
      <c r="Y63">
        <v>3</v>
      </c>
      <c r="Z63">
        <v>287</v>
      </c>
      <c r="AA63">
        <v>268.348876953125</v>
      </c>
      <c r="AB63">
        <v>266.75915999999961</v>
      </c>
      <c r="AC63">
        <v>125.00000000012612</v>
      </c>
      <c r="AD63">
        <v>1</v>
      </c>
      <c r="AE63">
        <v>5</v>
      </c>
      <c r="AF63">
        <v>2</v>
      </c>
      <c r="AG63">
        <v>784</v>
      </c>
      <c r="AH63">
        <v>937.23431611061096</v>
      </c>
      <c r="AI63">
        <v>931.63861300000099</v>
      </c>
      <c r="AJ63">
        <v>125.00304306069607</v>
      </c>
      <c r="AK63">
        <v>2</v>
      </c>
      <c r="AL63">
        <v>2</v>
      </c>
      <c r="AM63">
        <v>2</v>
      </c>
      <c r="AN63">
        <v>457</v>
      </c>
      <c r="AO63">
        <v>334.33168601989746</v>
      </c>
      <c r="AP63">
        <v>332.43866499999785</v>
      </c>
      <c r="AQ63">
        <v>125.00196815285287</v>
      </c>
      <c r="AR63">
        <v>125.00309394515028</v>
      </c>
      <c r="AS63">
        <v>2</v>
      </c>
      <c r="AT63">
        <v>3</v>
      </c>
      <c r="AU63">
        <v>3</v>
      </c>
      <c r="AV63">
        <v>370</v>
      </c>
      <c r="AW63">
        <v>304.36804986000061</v>
      </c>
      <c r="AX63">
        <v>299.77295299999969</v>
      </c>
      <c r="AY63">
        <v>125.00000000015135</v>
      </c>
      <c r="AZ63">
        <v>125.00000000010077</v>
      </c>
      <c r="BA63">
        <v>2</v>
      </c>
      <c r="BB63">
        <v>4</v>
      </c>
      <c r="BC63">
        <v>2</v>
      </c>
      <c r="BD63">
        <v>365</v>
      </c>
      <c r="BE63">
        <v>353.88538503646851</v>
      </c>
      <c r="BF63">
        <v>349.10450599999967</v>
      </c>
      <c r="BG63">
        <v>127.27339808797248</v>
      </c>
      <c r="BH63">
        <v>125.00013966096887</v>
      </c>
      <c r="BI63">
        <v>2</v>
      </c>
      <c r="BJ63">
        <v>5</v>
      </c>
      <c r="BK63">
        <v>2</v>
      </c>
      <c r="BL63">
        <v>378</v>
      </c>
      <c r="BM63">
        <v>468.87578201293945</v>
      </c>
      <c r="BN63">
        <v>465.87197200000082</v>
      </c>
      <c r="BO63">
        <v>128.1429435160793</v>
      </c>
      <c r="BP63">
        <v>125.00427706701747</v>
      </c>
      <c r="BQ63">
        <v>3</v>
      </c>
      <c r="BR63">
        <v>3</v>
      </c>
      <c r="BS63">
        <v>2</v>
      </c>
      <c r="BT63">
        <v>875</v>
      </c>
      <c r="BU63">
        <v>790.68934392929077</v>
      </c>
      <c r="BV63">
        <v>786.18501400000059</v>
      </c>
      <c r="BW63">
        <v>125.00130846558935</v>
      </c>
      <c r="BX63">
        <v>125.00312587397288</v>
      </c>
      <c r="BY63">
        <v>125.00033932119497</v>
      </c>
      <c r="BZ63">
        <v>3</v>
      </c>
      <c r="CA63">
        <v>4</v>
      </c>
      <c r="CB63">
        <v>2</v>
      </c>
      <c r="CC63">
        <v>402</v>
      </c>
      <c r="CD63">
        <v>739.84472298622131</v>
      </c>
      <c r="CE63">
        <v>725.3195539999997</v>
      </c>
      <c r="CF63">
        <v>125.00025194424927</v>
      </c>
      <c r="CG63">
        <v>125.00317518969976</v>
      </c>
      <c r="CH63">
        <v>125.00000303174595</v>
      </c>
      <c r="CI63">
        <v>3</v>
      </c>
      <c r="CJ63">
        <v>5</v>
      </c>
      <c r="CK63">
        <v>2</v>
      </c>
      <c r="CL63">
        <v>369</v>
      </c>
      <c r="CM63">
        <v>793.41410303115845</v>
      </c>
      <c r="CN63">
        <v>781.7232440000007</v>
      </c>
      <c r="CO63">
        <v>127.20047034352611</v>
      </c>
      <c r="CP63">
        <v>127.41620107576097</v>
      </c>
      <c r="CQ63">
        <v>125.01219791929712</v>
      </c>
    </row>
    <row r="64" spans="1:95" s="8" customFormat="1" x14ac:dyDescent="0.35">
      <c r="A64">
        <v>1063</v>
      </c>
      <c r="B64">
        <v>1</v>
      </c>
      <c r="C64">
        <v>1</v>
      </c>
      <c r="D64">
        <v>3</v>
      </c>
      <c r="E64">
        <v>527</v>
      </c>
      <c r="F64">
        <v>129.44939112663269</v>
      </c>
      <c r="G64">
        <v>128.73062799999934</v>
      </c>
      <c r="H64">
        <v>125.00000000008167</v>
      </c>
      <c r="I64">
        <v>1</v>
      </c>
      <c r="J64">
        <v>2</v>
      </c>
      <c r="K64">
        <v>3</v>
      </c>
      <c r="L64">
        <v>92</v>
      </c>
      <c r="M64">
        <v>45.668691873550415</v>
      </c>
      <c r="N64">
        <v>45.545808999999281</v>
      </c>
      <c r="O64">
        <v>125.00000000010577</v>
      </c>
      <c r="P64">
        <v>1</v>
      </c>
      <c r="Q64">
        <v>3</v>
      </c>
      <c r="R64">
        <v>3</v>
      </c>
      <c r="S64">
        <v>858</v>
      </c>
      <c r="T64">
        <v>633.29290103912354</v>
      </c>
      <c r="U64">
        <v>621.59270200000174</v>
      </c>
      <c r="V64">
        <v>125.0000000001171</v>
      </c>
      <c r="W64">
        <v>1</v>
      </c>
      <c r="X64">
        <v>4</v>
      </c>
      <c r="Y64">
        <v>3</v>
      </c>
      <c r="Z64">
        <v>513</v>
      </c>
      <c r="AA64">
        <v>503.41147398948669</v>
      </c>
      <c r="AB64">
        <v>493.39240600000085</v>
      </c>
      <c r="AC64">
        <v>125.00101563822858</v>
      </c>
      <c r="AD64">
        <v>1</v>
      </c>
      <c r="AE64">
        <v>5</v>
      </c>
      <c r="AF64">
        <v>2</v>
      </c>
      <c r="AG64">
        <v>307</v>
      </c>
      <c r="AH64">
        <v>373.87680196762085</v>
      </c>
      <c r="AI64">
        <v>369.00068600000122</v>
      </c>
      <c r="AJ64">
        <v>125.00036587599301</v>
      </c>
      <c r="AK64">
        <v>2</v>
      </c>
      <c r="AL64">
        <v>2</v>
      </c>
      <c r="AM64">
        <v>3</v>
      </c>
      <c r="AN64">
        <v>284</v>
      </c>
      <c r="AO64">
        <v>187.1365921497345</v>
      </c>
      <c r="AP64">
        <v>182.38478099999884</v>
      </c>
      <c r="AQ64">
        <v>125.00000000007283</v>
      </c>
      <c r="AR64">
        <v>125.00000000019799</v>
      </c>
      <c r="AS64">
        <v>2</v>
      </c>
      <c r="AT64">
        <v>3</v>
      </c>
      <c r="AU64">
        <v>3</v>
      </c>
      <c r="AV64">
        <v>813</v>
      </c>
      <c r="AW64">
        <v>763.53187704086304</v>
      </c>
      <c r="AX64">
        <v>752.27180400000179</v>
      </c>
      <c r="AY64">
        <v>125.00000000010537</v>
      </c>
      <c r="AZ64">
        <v>125.00000000013168</v>
      </c>
      <c r="BA64">
        <v>2</v>
      </c>
      <c r="BB64">
        <v>4</v>
      </c>
      <c r="BC64">
        <v>3</v>
      </c>
      <c r="BD64">
        <v>437</v>
      </c>
      <c r="BE64">
        <v>608.28639984130859</v>
      </c>
      <c r="BF64">
        <v>599.14730199999758</v>
      </c>
      <c r="BG64">
        <v>125.00000000016121</v>
      </c>
      <c r="BH64">
        <v>125.00000000012635</v>
      </c>
      <c r="BI64">
        <v>2</v>
      </c>
      <c r="BJ64">
        <v>5</v>
      </c>
      <c r="BK64">
        <v>3</v>
      </c>
      <c r="BL64">
        <v>532</v>
      </c>
      <c r="BM64">
        <v>844.77190709114075</v>
      </c>
      <c r="BN64">
        <v>828.84524600000441</v>
      </c>
      <c r="BO64">
        <v>125.00028210942187</v>
      </c>
      <c r="BP64">
        <v>125.00220273015407</v>
      </c>
      <c r="BQ64">
        <v>3</v>
      </c>
      <c r="BR64">
        <v>3</v>
      </c>
      <c r="BS64">
        <v>2</v>
      </c>
      <c r="BT64">
        <v>777</v>
      </c>
      <c r="BU64">
        <v>982.10603904724121</v>
      </c>
      <c r="BV64">
        <v>966.57993199999692</v>
      </c>
      <c r="BW64">
        <v>125.00087519442</v>
      </c>
      <c r="BX64">
        <v>125.00320910400765</v>
      </c>
      <c r="BY64">
        <v>125.00334279908418</v>
      </c>
      <c r="BZ64">
        <v>3</v>
      </c>
      <c r="CA64">
        <v>4</v>
      </c>
      <c r="CB64">
        <v>2</v>
      </c>
      <c r="CC64">
        <v>384</v>
      </c>
      <c r="CD64">
        <v>643.301913022995</v>
      </c>
      <c r="CE64">
        <v>632.06260600000314</v>
      </c>
      <c r="CF64">
        <v>125.377943869361</v>
      </c>
      <c r="CG64">
        <v>126.15417000886151</v>
      </c>
      <c r="CH64">
        <v>125.0000006360433</v>
      </c>
      <c r="CI64">
        <v>3</v>
      </c>
      <c r="CJ64">
        <v>5</v>
      </c>
      <c r="CK64">
        <v>2</v>
      </c>
      <c r="CL64">
        <v>1348</v>
      </c>
      <c r="CM64">
        <v>2518.188040971756</v>
      </c>
      <c r="CN64">
        <v>2478.1114989999987</v>
      </c>
      <c r="CO64">
        <v>126.03231277898733</v>
      </c>
      <c r="CP64">
        <v>125.00023230745406</v>
      </c>
      <c r="CQ64">
        <v>125.00614033267578</v>
      </c>
    </row>
    <row r="65" spans="1:95" s="8" customFormat="1" x14ac:dyDescent="0.35">
      <c r="A65">
        <v>1064</v>
      </c>
      <c r="B65">
        <v>1</v>
      </c>
      <c r="C65">
        <v>1</v>
      </c>
      <c r="D65">
        <v>3</v>
      </c>
      <c r="E65">
        <v>3904</v>
      </c>
      <c r="F65">
        <v>978.05648803710938</v>
      </c>
      <c r="G65">
        <v>961.48844699999972</v>
      </c>
      <c r="H65">
        <v>125.00000000005791</v>
      </c>
      <c r="I65">
        <v>1</v>
      </c>
      <c r="J65">
        <v>2</v>
      </c>
      <c r="K65">
        <v>2</v>
      </c>
      <c r="L65">
        <v>371</v>
      </c>
      <c r="M65">
        <v>185.18816089630127</v>
      </c>
      <c r="N65">
        <v>180.01342999999906</v>
      </c>
      <c r="O65">
        <v>125.04545723683938</v>
      </c>
      <c r="P65">
        <v>1</v>
      </c>
      <c r="Q65">
        <v>3</v>
      </c>
      <c r="R65">
        <v>2</v>
      </c>
      <c r="S65">
        <v>409</v>
      </c>
      <c r="T65">
        <v>332.34045600891113</v>
      </c>
      <c r="U65">
        <v>327.96888699999909</v>
      </c>
      <c r="V65">
        <v>125.11806292893115</v>
      </c>
      <c r="W65">
        <v>1</v>
      </c>
      <c r="X65">
        <v>4</v>
      </c>
      <c r="Y65">
        <v>2</v>
      </c>
      <c r="Z65">
        <v>339</v>
      </c>
      <c r="AA65">
        <v>394.4054799079895</v>
      </c>
      <c r="AB65">
        <v>390.45565500000157</v>
      </c>
      <c r="AC65">
        <v>125.04545723683938</v>
      </c>
      <c r="AD65">
        <v>1</v>
      </c>
      <c r="AE65">
        <v>5</v>
      </c>
      <c r="AF65">
        <v>2</v>
      </c>
      <c r="AG65">
        <v>590</v>
      </c>
      <c r="AH65">
        <v>714.39261102676392</v>
      </c>
      <c r="AI65">
        <v>703.7089259999957</v>
      </c>
      <c r="AJ65">
        <v>125.01528387294209</v>
      </c>
      <c r="AK65">
        <v>2</v>
      </c>
      <c r="AL65">
        <v>2</v>
      </c>
      <c r="AM65">
        <v>3</v>
      </c>
      <c r="AN65">
        <v>155</v>
      </c>
      <c r="AO65">
        <v>108.7042248249054</v>
      </c>
      <c r="AP65">
        <v>106.18834600000264</v>
      </c>
      <c r="AQ65">
        <v>125.00000000005336</v>
      </c>
      <c r="AR65">
        <v>125.00000000011742</v>
      </c>
      <c r="AS65">
        <v>2</v>
      </c>
      <c r="AT65">
        <v>3</v>
      </c>
      <c r="AU65">
        <v>3</v>
      </c>
      <c r="AV65">
        <v>300</v>
      </c>
      <c r="AW65">
        <v>295.47699904441833</v>
      </c>
      <c r="AX65">
        <v>291.04794599999877</v>
      </c>
      <c r="AY65">
        <v>125.00000000009283</v>
      </c>
      <c r="AZ65">
        <v>125.00000000010812</v>
      </c>
      <c r="BA65">
        <v>2</v>
      </c>
      <c r="BB65">
        <v>4</v>
      </c>
      <c r="BC65">
        <v>2</v>
      </c>
      <c r="BD65">
        <v>372</v>
      </c>
      <c r="BE65">
        <v>555.65508484840393</v>
      </c>
      <c r="BF65">
        <v>549.7330260000017</v>
      </c>
      <c r="BG65">
        <v>127.67786033256414</v>
      </c>
      <c r="BH65">
        <v>125.00546536714955</v>
      </c>
      <c r="BI65">
        <v>2</v>
      </c>
      <c r="BJ65">
        <v>5</v>
      </c>
      <c r="BK65">
        <v>2</v>
      </c>
      <c r="BL65">
        <v>365</v>
      </c>
      <c r="BM65">
        <v>651.67132592201233</v>
      </c>
      <c r="BN65">
        <v>637.62886400000207</v>
      </c>
      <c r="BO65">
        <v>128.39788708195462</v>
      </c>
      <c r="BP65">
        <v>125.00020047163785</v>
      </c>
      <c r="BQ65">
        <v>3</v>
      </c>
      <c r="BR65">
        <v>3</v>
      </c>
      <c r="BS65">
        <v>2</v>
      </c>
      <c r="BT65">
        <v>435</v>
      </c>
      <c r="BU65">
        <v>545.22950100898743</v>
      </c>
      <c r="BV65">
        <v>537.81926200000089</v>
      </c>
      <c r="BW65">
        <v>125.00179260457347</v>
      </c>
      <c r="BX65">
        <v>125.02480194647805</v>
      </c>
      <c r="BY65">
        <v>125.00000157042803</v>
      </c>
      <c r="BZ65">
        <v>3</v>
      </c>
      <c r="CA65">
        <v>4</v>
      </c>
      <c r="CB65">
        <v>2</v>
      </c>
      <c r="CC65">
        <v>31422</v>
      </c>
      <c r="CD65">
        <v>45868.141952991486</v>
      </c>
      <c r="CE65">
        <v>45430.632296000011</v>
      </c>
      <c r="CF65">
        <v>125.40280380439731</v>
      </c>
      <c r="CG65">
        <v>125.80044562337213</v>
      </c>
      <c r="CH65">
        <v>125.00000001471194</v>
      </c>
      <c r="CI65">
        <v>3</v>
      </c>
      <c r="CJ65">
        <v>5</v>
      </c>
      <c r="CK65">
        <v>2</v>
      </c>
      <c r="CL65">
        <v>628</v>
      </c>
      <c r="CM65">
        <v>1035.4596748352051</v>
      </c>
      <c r="CN65">
        <v>1029.875125999999</v>
      </c>
      <c r="CO65">
        <v>125.5230150772781</v>
      </c>
      <c r="CP65">
        <v>125.00019257197002</v>
      </c>
      <c r="CQ65">
        <v>125.00057550058051</v>
      </c>
    </row>
    <row r="66" spans="1:95" s="8" customFormat="1" x14ac:dyDescent="0.35">
      <c r="A66">
        <v>1065</v>
      </c>
      <c r="B66">
        <v>1</v>
      </c>
      <c r="C66">
        <v>1</v>
      </c>
      <c r="D66">
        <v>3</v>
      </c>
      <c r="E66">
        <v>96</v>
      </c>
      <c r="F66">
        <v>19.603797912597656</v>
      </c>
      <c r="G66">
        <v>19.566321000005701</v>
      </c>
      <c r="H66">
        <v>125.00000000023989</v>
      </c>
      <c r="I66">
        <v>1</v>
      </c>
      <c r="J66">
        <v>2</v>
      </c>
      <c r="K66">
        <v>3</v>
      </c>
      <c r="L66">
        <v>91</v>
      </c>
      <c r="M66">
        <v>35.948299884796143</v>
      </c>
      <c r="N66">
        <v>35.892984999984037</v>
      </c>
      <c r="O66">
        <v>125.00000000026006</v>
      </c>
      <c r="P66">
        <v>1</v>
      </c>
      <c r="Q66">
        <v>3</v>
      </c>
      <c r="R66">
        <v>3</v>
      </c>
      <c r="S66">
        <v>263</v>
      </c>
      <c r="T66">
        <v>152.96450090408325</v>
      </c>
      <c r="U66">
        <v>152.39951899999869</v>
      </c>
      <c r="V66">
        <v>125.00000000024713</v>
      </c>
      <c r="W66">
        <v>1</v>
      </c>
      <c r="X66">
        <v>4</v>
      </c>
      <c r="Y66">
        <v>3</v>
      </c>
      <c r="Z66">
        <v>530</v>
      </c>
      <c r="AA66">
        <v>411.55539107322693</v>
      </c>
      <c r="AB66">
        <v>409.78670600001351</v>
      </c>
      <c r="AC66">
        <v>125.00000000024356</v>
      </c>
      <c r="AD66">
        <v>1</v>
      </c>
      <c r="AE66">
        <v>5</v>
      </c>
      <c r="AF66">
        <v>3</v>
      </c>
      <c r="AG66">
        <v>276</v>
      </c>
      <c r="AH66">
        <v>267.62560200691223</v>
      </c>
      <c r="AI66">
        <v>266.46715199999744</v>
      </c>
      <c r="AJ66">
        <v>125.00000000024251</v>
      </c>
      <c r="AK66">
        <v>2</v>
      </c>
      <c r="AL66">
        <v>2</v>
      </c>
      <c r="AM66">
        <v>3</v>
      </c>
      <c r="AN66">
        <v>2313</v>
      </c>
      <c r="AO66">
        <v>1204.5465281009674</v>
      </c>
      <c r="AP66">
        <v>1198.3373030000075</v>
      </c>
      <c r="AQ66">
        <v>125.00000000020817</v>
      </c>
      <c r="AR66">
        <v>125.00000000034636</v>
      </c>
      <c r="AS66">
        <v>2</v>
      </c>
      <c r="AT66">
        <v>3</v>
      </c>
      <c r="AU66">
        <v>3</v>
      </c>
      <c r="AV66">
        <v>185</v>
      </c>
      <c r="AW66">
        <v>145.04994702339172</v>
      </c>
      <c r="AX66">
        <v>144.41616100000101</v>
      </c>
      <c r="AY66">
        <v>125.00000000032094</v>
      </c>
      <c r="AZ66">
        <v>125.00000000020094</v>
      </c>
      <c r="BA66">
        <v>2</v>
      </c>
      <c r="BB66">
        <v>4</v>
      </c>
      <c r="BC66">
        <v>2</v>
      </c>
      <c r="BD66">
        <v>388</v>
      </c>
      <c r="BE66">
        <v>401.12325215339661</v>
      </c>
      <c r="BF66">
        <v>399.28763300001447</v>
      </c>
      <c r="BG66">
        <v>127.44417934432633</v>
      </c>
      <c r="BH66">
        <v>125.00489774900194</v>
      </c>
      <c r="BI66">
        <v>2</v>
      </c>
      <c r="BJ66">
        <v>5</v>
      </c>
      <c r="BK66">
        <v>3</v>
      </c>
      <c r="BL66">
        <v>1079</v>
      </c>
      <c r="BM66">
        <v>1410.7566359043121</v>
      </c>
      <c r="BN66">
        <v>1403.5887769999827</v>
      </c>
      <c r="BO66">
        <v>125.00000000064449</v>
      </c>
      <c r="BP66">
        <v>125.00000000014933</v>
      </c>
      <c r="BQ66">
        <v>3</v>
      </c>
      <c r="BR66">
        <v>3</v>
      </c>
      <c r="BS66">
        <v>3</v>
      </c>
      <c r="BT66">
        <v>3331</v>
      </c>
      <c r="BU66">
        <v>3251.4365198612213</v>
      </c>
      <c r="BV66">
        <v>3233.6216500000155</v>
      </c>
      <c r="BW66">
        <v>125.00000000021387</v>
      </c>
      <c r="BX66">
        <v>125.00000000026196</v>
      </c>
      <c r="BY66">
        <v>125.00000000027393</v>
      </c>
      <c r="BZ66">
        <v>3</v>
      </c>
      <c r="CA66">
        <v>4</v>
      </c>
      <c r="CB66">
        <v>3</v>
      </c>
      <c r="CC66">
        <v>983</v>
      </c>
      <c r="CD66">
        <v>1279.7363760471344</v>
      </c>
      <c r="CE66">
        <v>1273.132597999982</v>
      </c>
      <c r="CF66">
        <v>125.00000000030704</v>
      </c>
      <c r="CG66">
        <v>125.00000000033211</v>
      </c>
      <c r="CH66">
        <v>125.00000000016541</v>
      </c>
      <c r="CI66">
        <v>3</v>
      </c>
      <c r="CJ66">
        <v>5</v>
      </c>
      <c r="CK66">
        <v>3</v>
      </c>
      <c r="CL66">
        <v>641</v>
      </c>
      <c r="CM66">
        <v>1038.7691299915314</v>
      </c>
      <c r="CN66">
        <v>1033.1893679999921</v>
      </c>
      <c r="CO66">
        <v>125.00000000042972</v>
      </c>
      <c r="CP66">
        <v>125.00000000043507</v>
      </c>
      <c r="CQ66">
        <v>125.00000000012923</v>
      </c>
    </row>
    <row r="67" spans="1:95" s="8" customFormat="1" x14ac:dyDescent="0.35">
      <c r="A67">
        <v>1066</v>
      </c>
      <c r="B67">
        <v>1</v>
      </c>
      <c r="C67">
        <v>1</v>
      </c>
      <c r="D67">
        <v>3</v>
      </c>
      <c r="E67">
        <v>284</v>
      </c>
      <c r="F67">
        <v>56.244798898696899</v>
      </c>
      <c r="G67">
        <v>56.027645000023767</v>
      </c>
      <c r="H67">
        <v>125.00000000009273</v>
      </c>
      <c r="I67">
        <v>1</v>
      </c>
      <c r="J67">
        <v>2</v>
      </c>
      <c r="K67">
        <v>2</v>
      </c>
      <c r="L67">
        <v>383</v>
      </c>
      <c r="M67">
        <v>151.0128378868103</v>
      </c>
      <c r="N67">
        <v>150.38735100001213</v>
      </c>
      <c r="O67">
        <v>125.02078942896381</v>
      </c>
      <c r="P67">
        <v>1</v>
      </c>
      <c r="Q67">
        <v>3</v>
      </c>
      <c r="R67">
        <v>3</v>
      </c>
      <c r="S67">
        <v>361</v>
      </c>
      <c r="T67">
        <v>210.77781701087952</v>
      </c>
      <c r="U67">
        <v>209.92677200000617</v>
      </c>
      <c r="V67">
        <v>125.00000000014647</v>
      </c>
      <c r="W67">
        <v>1</v>
      </c>
      <c r="X67">
        <v>4</v>
      </c>
      <c r="Y67">
        <v>3</v>
      </c>
      <c r="Z67">
        <v>1942</v>
      </c>
      <c r="AA67">
        <v>1525.8950259685516</v>
      </c>
      <c r="AB67">
        <v>1517.9377490000043</v>
      </c>
      <c r="AC67">
        <v>125.00000000016213</v>
      </c>
      <c r="AD67">
        <v>1</v>
      </c>
      <c r="AE67">
        <v>5</v>
      </c>
      <c r="AF67">
        <v>2</v>
      </c>
      <c r="AG67">
        <v>435</v>
      </c>
      <c r="AH67">
        <v>428.41037106513977</v>
      </c>
      <c r="AI67">
        <v>426.35202999999456</v>
      </c>
      <c r="AJ67">
        <v>125.00026610030957</v>
      </c>
      <c r="AK67">
        <v>2</v>
      </c>
      <c r="AL67">
        <v>2</v>
      </c>
      <c r="AM67">
        <v>3</v>
      </c>
      <c r="AN67">
        <v>2104</v>
      </c>
      <c r="AO67">
        <v>1110.3979539871216</v>
      </c>
      <c r="AP67">
        <v>1104.709136999998</v>
      </c>
      <c r="AQ67">
        <v>125.00000000008241</v>
      </c>
      <c r="AR67">
        <v>125.00000000031545</v>
      </c>
      <c r="AS67">
        <v>2</v>
      </c>
      <c r="AT67">
        <v>3</v>
      </c>
      <c r="AU67">
        <v>2</v>
      </c>
      <c r="AV67">
        <v>726</v>
      </c>
      <c r="AW67">
        <v>659.6172251701355</v>
      </c>
      <c r="AX67">
        <v>654.85997999999381</v>
      </c>
      <c r="AY67">
        <v>125.00053919342676</v>
      </c>
      <c r="AZ67">
        <v>125.01282734281844</v>
      </c>
      <c r="BA67">
        <v>2</v>
      </c>
      <c r="BB67">
        <v>4</v>
      </c>
      <c r="BC67">
        <v>2</v>
      </c>
      <c r="BD67">
        <v>513</v>
      </c>
      <c r="BE67">
        <v>653.76565599441528</v>
      </c>
      <c r="BF67">
        <v>648.17519899999024</v>
      </c>
      <c r="BG67">
        <v>127.70750615983512</v>
      </c>
      <c r="BH67">
        <v>125.00026311106791</v>
      </c>
      <c r="BI67">
        <v>2</v>
      </c>
      <c r="BJ67">
        <v>5</v>
      </c>
      <c r="BK67">
        <v>2</v>
      </c>
      <c r="BL67">
        <v>343</v>
      </c>
      <c r="BM67">
        <v>533.72162508964539</v>
      </c>
      <c r="BN67">
        <v>529.67026499999338</v>
      </c>
      <c r="BO67">
        <v>128.57764764991782</v>
      </c>
      <c r="BP67">
        <v>125.00072981696457</v>
      </c>
      <c r="BQ67">
        <v>3</v>
      </c>
      <c r="BR67">
        <v>3</v>
      </c>
      <c r="BS67">
        <v>2</v>
      </c>
      <c r="BT67">
        <v>524</v>
      </c>
      <c r="BU67">
        <v>621.69123601913452</v>
      </c>
      <c r="BV67">
        <v>616.75318200000038</v>
      </c>
      <c r="BW67">
        <v>125.00104195543126</v>
      </c>
      <c r="BX67">
        <v>125.00119899103245</v>
      </c>
      <c r="BY67">
        <v>127.14614985102222</v>
      </c>
      <c r="BZ67">
        <v>3</v>
      </c>
      <c r="CA67">
        <v>4</v>
      </c>
      <c r="CB67">
        <v>2</v>
      </c>
      <c r="CC67">
        <v>580</v>
      </c>
      <c r="CD67">
        <v>928.58552098274231</v>
      </c>
      <c r="CE67">
        <v>920.99462500000664</v>
      </c>
      <c r="CF67">
        <v>125.02568163272885</v>
      </c>
      <c r="CG67">
        <v>125.00215060789048</v>
      </c>
      <c r="CH67">
        <v>125.01379848341783</v>
      </c>
      <c r="CI67">
        <v>3</v>
      </c>
      <c r="CJ67">
        <v>5</v>
      </c>
      <c r="CK67">
        <v>2</v>
      </c>
      <c r="CL67">
        <v>357</v>
      </c>
      <c r="CM67">
        <v>813.61824703216553</v>
      </c>
      <c r="CN67">
        <v>807.12719100000686</v>
      </c>
      <c r="CO67">
        <v>125.9218577722373</v>
      </c>
      <c r="CP67">
        <v>125.01674500236811</v>
      </c>
      <c r="CQ67">
        <v>125.00159191780259</v>
      </c>
    </row>
    <row r="68" spans="1:95" s="8" customFormat="1" x14ac:dyDescent="0.35">
      <c r="A68">
        <v>1067</v>
      </c>
      <c r="B68">
        <v>1</v>
      </c>
      <c r="C68">
        <v>1</v>
      </c>
      <c r="D68">
        <v>3</v>
      </c>
      <c r="E68">
        <v>268</v>
      </c>
      <c r="F68">
        <v>53.816863775253296</v>
      </c>
      <c r="G68">
        <v>53.58101500000339</v>
      </c>
      <c r="H68">
        <v>125.00000000004871</v>
      </c>
      <c r="I68">
        <v>1</v>
      </c>
      <c r="J68">
        <v>2</v>
      </c>
      <c r="K68">
        <v>3</v>
      </c>
      <c r="L68">
        <v>84</v>
      </c>
      <c r="M68">
        <v>32.613770961761475</v>
      </c>
      <c r="N68">
        <v>32.555260999986785</v>
      </c>
      <c r="O68">
        <v>125.0000000000629</v>
      </c>
      <c r="P68">
        <v>1</v>
      </c>
      <c r="Q68">
        <v>3</v>
      </c>
      <c r="R68">
        <v>3</v>
      </c>
      <c r="S68">
        <v>100</v>
      </c>
      <c r="T68">
        <v>57.416201114654541</v>
      </c>
      <c r="U68">
        <v>57.210311999995611</v>
      </c>
      <c r="V68">
        <v>125.00000000007965</v>
      </c>
      <c r="W68">
        <v>1</v>
      </c>
      <c r="X68">
        <v>4</v>
      </c>
      <c r="Y68">
        <v>3</v>
      </c>
      <c r="Z68">
        <v>104</v>
      </c>
      <c r="AA68">
        <v>83.700230121612549</v>
      </c>
      <c r="AB68">
        <v>83.501616000008653</v>
      </c>
      <c r="AC68">
        <v>125.00000000010236</v>
      </c>
      <c r="AD68">
        <v>1</v>
      </c>
      <c r="AE68">
        <v>5</v>
      </c>
      <c r="AF68">
        <v>2</v>
      </c>
      <c r="AG68">
        <v>520</v>
      </c>
      <c r="AH68">
        <v>509.94958305358887</v>
      </c>
      <c r="AI68">
        <v>507.58136500000546</v>
      </c>
      <c r="AJ68">
        <v>125.00909874455044</v>
      </c>
      <c r="AK68">
        <v>2</v>
      </c>
      <c r="AL68">
        <v>2</v>
      </c>
      <c r="AM68">
        <v>3</v>
      </c>
      <c r="AN68">
        <v>296</v>
      </c>
      <c r="AO68">
        <v>159.76002979278564</v>
      </c>
      <c r="AP68">
        <v>158.95485900000494</v>
      </c>
      <c r="AQ68">
        <v>125.00000000004448</v>
      </c>
      <c r="AR68">
        <v>125.00000000010736</v>
      </c>
      <c r="AS68">
        <v>2</v>
      </c>
      <c r="AT68">
        <v>3</v>
      </c>
      <c r="AU68">
        <v>2</v>
      </c>
      <c r="AV68">
        <v>409</v>
      </c>
      <c r="AW68">
        <v>324.85353493690491</v>
      </c>
      <c r="AX68">
        <v>323.06548400000611</v>
      </c>
      <c r="AY68">
        <v>125.01567461059892</v>
      </c>
      <c r="AZ68">
        <v>125.00186662638859</v>
      </c>
      <c r="BA68">
        <v>2</v>
      </c>
      <c r="BB68">
        <v>4</v>
      </c>
      <c r="BC68">
        <v>2</v>
      </c>
      <c r="BD68">
        <v>363</v>
      </c>
      <c r="BE68">
        <v>369.94391894340515</v>
      </c>
      <c r="BF68">
        <v>368.38558400000329</v>
      </c>
      <c r="BG68">
        <v>127.93647642262324</v>
      </c>
      <c r="BH68">
        <v>125.00008517296484</v>
      </c>
      <c r="BI68">
        <v>2</v>
      </c>
      <c r="BJ68">
        <v>5</v>
      </c>
      <c r="BK68">
        <v>2</v>
      </c>
      <c r="BL68">
        <v>819</v>
      </c>
      <c r="BM68">
        <v>1069.9465548992157</v>
      </c>
      <c r="BN68">
        <v>1064.485108000008</v>
      </c>
      <c r="BO68">
        <v>125.02692649813027</v>
      </c>
      <c r="BP68">
        <v>125.00017981630261</v>
      </c>
      <c r="BQ68">
        <v>3</v>
      </c>
      <c r="BR68">
        <v>3</v>
      </c>
      <c r="BS68">
        <v>3</v>
      </c>
      <c r="BT68">
        <v>2583</v>
      </c>
      <c r="BU68">
        <v>2544.859897851944</v>
      </c>
      <c r="BV68">
        <v>2531.4841879999876</v>
      </c>
      <c r="BW68">
        <v>125.00000000004891</v>
      </c>
      <c r="BX68">
        <v>125.00000000008929</v>
      </c>
      <c r="BY68">
        <v>125.00000000016934</v>
      </c>
      <c r="BZ68">
        <v>3</v>
      </c>
      <c r="CA68">
        <v>4</v>
      </c>
      <c r="CB68">
        <v>3</v>
      </c>
      <c r="CC68">
        <v>916</v>
      </c>
      <c r="CD68">
        <v>1188.9566121101379</v>
      </c>
      <c r="CE68">
        <v>1182.8931929999962</v>
      </c>
      <c r="CF68">
        <v>125.00000000007766</v>
      </c>
      <c r="CG68">
        <v>125.00000000012787</v>
      </c>
      <c r="CH68">
        <v>125.00000000011066</v>
      </c>
      <c r="CI68">
        <v>3</v>
      </c>
      <c r="CJ68">
        <v>5</v>
      </c>
      <c r="CK68">
        <v>2</v>
      </c>
      <c r="CL68">
        <v>778</v>
      </c>
      <c r="CM68">
        <v>1258.812196969986</v>
      </c>
      <c r="CN68">
        <v>1252.1343110000016</v>
      </c>
      <c r="CO68">
        <v>126.14477091609649</v>
      </c>
      <c r="CP68">
        <v>125.00011056500674</v>
      </c>
      <c r="CQ68">
        <v>125.00010328929385</v>
      </c>
    </row>
    <row r="69" spans="1:95" s="8" customFormat="1" x14ac:dyDescent="0.35">
      <c r="A69">
        <v>1068</v>
      </c>
      <c r="B69">
        <v>1</v>
      </c>
      <c r="C69">
        <v>1</v>
      </c>
      <c r="D69">
        <v>3</v>
      </c>
      <c r="E69">
        <v>324</v>
      </c>
      <c r="F69">
        <v>62.190294981002808</v>
      </c>
      <c r="G69">
        <v>61.949158000003081</v>
      </c>
      <c r="H69">
        <v>125.00000000004817</v>
      </c>
      <c r="I69">
        <v>1</v>
      </c>
      <c r="J69">
        <v>2</v>
      </c>
      <c r="K69">
        <v>3</v>
      </c>
      <c r="L69">
        <v>188</v>
      </c>
      <c r="M69">
        <v>72.753732919692993</v>
      </c>
      <c r="N69">
        <v>72.52023699998972</v>
      </c>
      <c r="O69">
        <v>125.0000000000589</v>
      </c>
      <c r="P69">
        <v>1</v>
      </c>
      <c r="Q69">
        <v>3</v>
      </c>
      <c r="R69">
        <v>2</v>
      </c>
      <c r="S69">
        <v>356</v>
      </c>
      <c r="T69">
        <v>208.89349889755249</v>
      </c>
      <c r="U69">
        <v>207.91219799999089</v>
      </c>
      <c r="V69">
        <v>125.00241537166627</v>
      </c>
      <c r="W69">
        <v>1</v>
      </c>
      <c r="X69">
        <v>4</v>
      </c>
      <c r="Y69">
        <v>3</v>
      </c>
      <c r="Z69">
        <v>938</v>
      </c>
      <c r="AA69">
        <v>728.728600025177</v>
      </c>
      <c r="AB69">
        <v>725.1724310000136</v>
      </c>
      <c r="AC69">
        <v>125.0000000000922</v>
      </c>
      <c r="AD69">
        <v>1</v>
      </c>
      <c r="AE69">
        <v>5</v>
      </c>
      <c r="AF69">
        <v>2</v>
      </c>
      <c r="AG69">
        <v>382</v>
      </c>
      <c r="AH69">
        <v>370.37649703025818</v>
      </c>
      <c r="AI69">
        <v>368.74280799999542</v>
      </c>
      <c r="AJ69">
        <v>125.00241537166627</v>
      </c>
      <c r="AK69">
        <v>2</v>
      </c>
      <c r="AL69">
        <v>2</v>
      </c>
      <c r="AM69">
        <v>2</v>
      </c>
      <c r="AN69">
        <v>412</v>
      </c>
      <c r="AO69">
        <v>212.74257707595825</v>
      </c>
      <c r="AP69">
        <v>211.71761200000765</v>
      </c>
      <c r="AQ69">
        <v>125.00020466723515</v>
      </c>
      <c r="AR69">
        <v>125.14445321480139</v>
      </c>
      <c r="AS69">
        <v>2</v>
      </c>
      <c r="AT69">
        <v>3</v>
      </c>
      <c r="AU69">
        <v>2</v>
      </c>
      <c r="AV69">
        <v>454</v>
      </c>
      <c r="AW69">
        <v>347.02267098426819</v>
      </c>
      <c r="AX69">
        <v>345.54809199999727</v>
      </c>
      <c r="AY69">
        <v>126.08244591529113</v>
      </c>
      <c r="AZ69">
        <v>125.02618996018364</v>
      </c>
      <c r="BA69">
        <v>2</v>
      </c>
      <c r="BB69">
        <v>4</v>
      </c>
      <c r="BC69">
        <v>3</v>
      </c>
      <c r="BD69">
        <v>359</v>
      </c>
      <c r="BE69">
        <v>363.02252507209778</v>
      </c>
      <c r="BF69">
        <v>361.53730199998245</v>
      </c>
      <c r="BG69">
        <v>125.00000000010915</v>
      </c>
      <c r="BH69">
        <v>125.00000000007954</v>
      </c>
      <c r="BI69">
        <v>2</v>
      </c>
      <c r="BJ69">
        <v>5</v>
      </c>
      <c r="BK69">
        <v>2</v>
      </c>
      <c r="BL69">
        <v>611</v>
      </c>
      <c r="BM69">
        <v>800.72071218490601</v>
      </c>
      <c r="BN69">
        <v>796.81148199999006</v>
      </c>
      <c r="BO69">
        <v>128.00594224241397</v>
      </c>
      <c r="BP69">
        <v>125.00027839064789</v>
      </c>
      <c r="BQ69">
        <v>3</v>
      </c>
      <c r="BR69">
        <v>3</v>
      </c>
      <c r="BS69">
        <v>2</v>
      </c>
      <c r="BT69">
        <v>616</v>
      </c>
      <c r="BU69">
        <v>601.08023118972778</v>
      </c>
      <c r="BV69">
        <v>598.10286600001564</v>
      </c>
      <c r="BW69">
        <v>125.00005300036668</v>
      </c>
      <c r="BX69">
        <v>125.11869615910325</v>
      </c>
      <c r="BY69">
        <v>125.00013984738578</v>
      </c>
      <c r="BZ69">
        <v>3</v>
      </c>
      <c r="CA69">
        <v>4</v>
      </c>
      <c r="CB69">
        <v>2</v>
      </c>
      <c r="CC69">
        <v>470</v>
      </c>
      <c r="CD69">
        <v>607.99476099014282</v>
      </c>
      <c r="CE69">
        <v>604.99521100000129</v>
      </c>
      <c r="CF69">
        <v>125.58691907203988</v>
      </c>
      <c r="CG69">
        <v>125.80590864635822</v>
      </c>
      <c r="CH69">
        <v>125.0521403612601</v>
      </c>
      <c r="CI69">
        <v>3</v>
      </c>
      <c r="CJ69">
        <v>5</v>
      </c>
      <c r="CK69">
        <v>2</v>
      </c>
      <c r="CL69">
        <v>557</v>
      </c>
      <c r="CM69">
        <v>895.75352001190186</v>
      </c>
      <c r="CN69">
        <v>891.29304799999227</v>
      </c>
      <c r="CO69">
        <v>125.69790397138351</v>
      </c>
      <c r="CP69">
        <v>125.02857135005199</v>
      </c>
      <c r="CQ69">
        <v>125.00359427794912</v>
      </c>
    </row>
    <row r="70" spans="1:95" s="8" customFormat="1" x14ac:dyDescent="0.35">
      <c r="A70">
        <v>1069</v>
      </c>
      <c r="B70">
        <v>1</v>
      </c>
      <c r="C70">
        <v>1</v>
      </c>
      <c r="D70">
        <v>3</v>
      </c>
      <c r="E70">
        <v>1237</v>
      </c>
      <c r="F70">
        <v>247.01732397079468</v>
      </c>
      <c r="G70">
        <v>245.82982099999208</v>
      </c>
      <c r="H70">
        <v>125.0000000000297</v>
      </c>
      <c r="I70">
        <v>1</v>
      </c>
      <c r="J70">
        <v>2</v>
      </c>
      <c r="K70">
        <v>3</v>
      </c>
      <c r="L70">
        <v>99</v>
      </c>
      <c r="M70">
        <v>39.215275049209595</v>
      </c>
      <c r="N70">
        <v>39.156232999986969</v>
      </c>
      <c r="O70">
        <v>125.00000000004202</v>
      </c>
      <c r="P70">
        <v>1</v>
      </c>
      <c r="Q70">
        <v>3</v>
      </c>
      <c r="R70">
        <v>3</v>
      </c>
      <c r="S70">
        <v>424</v>
      </c>
      <c r="T70">
        <v>248.43613886833191</v>
      </c>
      <c r="U70">
        <v>247.3091609999974</v>
      </c>
      <c r="V70">
        <v>125.00000000005261</v>
      </c>
      <c r="W70">
        <v>1</v>
      </c>
      <c r="X70">
        <v>4</v>
      </c>
      <c r="Y70">
        <v>3</v>
      </c>
      <c r="Z70">
        <v>185</v>
      </c>
      <c r="AA70">
        <v>146.8755898475647</v>
      </c>
      <c r="AB70">
        <v>146.26050399999076</v>
      </c>
      <c r="AC70">
        <v>125.00000000006162</v>
      </c>
      <c r="AD70">
        <v>1</v>
      </c>
      <c r="AE70">
        <v>5</v>
      </c>
      <c r="AF70">
        <v>3</v>
      </c>
      <c r="AG70">
        <v>179</v>
      </c>
      <c r="AH70">
        <v>178.28737282752991</v>
      </c>
      <c r="AI70">
        <v>177.57092399999965</v>
      </c>
      <c r="AJ70">
        <v>125.00000000007216</v>
      </c>
      <c r="AK70">
        <v>2</v>
      </c>
      <c r="AL70">
        <v>2</v>
      </c>
      <c r="AM70">
        <v>3</v>
      </c>
      <c r="AN70">
        <v>525</v>
      </c>
      <c r="AO70">
        <v>276.85810089111328</v>
      </c>
      <c r="AP70">
        <v>275.31016000000818</v>
      </c>
      <c r="AQ70">
        <v>125.00000000002794</v>
      </c>
      <c r="AR70">
        <v>125.00000000008498</v>
      </c>
      <c r="AS70">
        <v>2</v>
      </c>
      <c r="AT70">
        <v>3</v>
      </c>
      <c r="AU70">
        <v>3</v>
      </c>
      <c r="AV70">
        <v>394</v>
      </c>
      <c r="AW70">
        <v>312.20571517944336</v>
      </c>
      <c r="AX70">
        <v>310.82110299999476</v>
      </c>
      <c r="AY70">
        <v>125.00000000004479</v>
      </c>
      <c r="AZ70">
        <v>125.00000000006376</v>
      </c>
      <c r="BA70">
        <v>2</v>
      </c>
      <c r="BB70">
        <v>4</v>
      </c>
      <c r="BC70">
        <v>3</v>
      </c>
      <c r="BD70">
        <v>380</v>
      </c>
      <c r="BE70">
        <v>396.66196703910828</v>
      </c>
      <c r="BF70">
        <v>394.92390200000955</v>
      </c>
      <c r="BG70">
        <v>125.00000000006551</v>
      </c>
      <c r="BH70">
        <v>125.00000000005863</v>
      </c>
      <c r="BI70">
        <v>2</v>
      </c>
      <c r="BJ70">
        <v>5</v>
      </c>
      <c r="BK70">
        <v>2</v>
      </c>
      <c r="BL70">
        <v>376</v>
      </c>
      <c r="BM70">
        <v>495.96199893951416</v>
      </c>
      <c r="BN70">
        <v>493.65679399999499</v>
      </c>
      <c r="BO70">
        <v>128.74798248774357</v>
      </c>
      <c r="BP70">
        <v>125.00011581896995</v>
      </c>
      <c r="BQ70">
        <v>3</v>
      </c>
      <c r="BR70">
        <v>3</v>
      </c>
      <c r="BS70">
        <v>3</v>
      </c>
      <c r="BT70">
        <v>1723</v>
      </c>
      <c r="BU70">
        <v>1687.7747309207916</v>
      </c>
      <c r="BV70">
        <v>1679.2056020000018</v>
      </c>
      <c r="BW70">
        <v>125.00000000002984</v>
      </c>
      <c r="BX70">
        <v>125.00000000006902</v>
      </c>
      <c r="BY70">
        <v>125.00000000011062</v>
      </c>
      <c r="BZ70">
        <v>3</v>
      </c>
      <c r="CA70">
        <v>4</v>
      </c>
      <c r="CB70">
        <v>2</v>
      </c>
      <c r="CC70">
        <v>374</v>
      </c>
      <c r="CD70">
        <v>486.91219401359558</v>
      </c>
      <c r="CE70">
        <v>484.60448700000416</v>
      </c>
      <c r="CF70">
        <v>126.63559762798054</v>
      </c>
      <c r="CG70">
        <v>126.36276075408902</v>
      </c>
      <c r="CH70">
        <v>125.00005642891183</v>
      </c>
      <c r="CI70">
        <v>3</v>
      </c>
      <c r="CJ70">
        <v>5</v>
      </c>
      <c r="CK70">
        <v>2</v>
      </c>
      <c r="CL70">
        <v>469</v>
      </c>
      <c r="CM70">
        <v>753.02169299125671</v>
      </c>
      <c r="CN70">
        <v>749.87004699998943</v>
      </c>
      <c r="CO70">
        <v>126.37071887570187</v>
      </c>
      <c r="CP70">
        <v>125.00015653949438</v>
      </c>
      <c r="CQ70">
        <v>125.01122418844392</v>
      </c>
    </row>
    <row r="71" spans="1:95" s="8" customFormat="1" x14ac:dyDescent="0.35">
      <c r="A71">
        <v>1070</v>
      </c>
      <c r="B71">
        <v>1</v>
      </c>
      <c r="C71">
        <v>1</v>
      </c>
      <c r="D71">
        <v>3</v>
      </c>
      <c r="E71">
        <v>255</v>
      </c>
      <c r="F71">
        <v>51.290464162826538</v>
      </c>
      <c r="G71">
        <v>51.078777999995509</v>
      </c>
      <c r="H71">
        <v>125.00000000018542</v>
      </c>
      <c r="I71">
        <v>1</v>
      </c>
      <c r="J71">
        <v>2</v>
      </c>
      <c r="K71">
        <v>3</v>
      </c>
      <c r="L71">
        <v>270</v>
      </c>
      <c r="M71">
        <v>107.40644693374634</v>
      </c>
      <c r="N71">
        <v>106.93709999999555</v>
      </c>
      <c r="O71">
        <v>125.00000000021316</v>
      </c>
      <c r="P71">
        <v>1</v>
      </c>
      <c r="Q71">
        <v>3</v>
      </c>
      <c r="R71">
        <v>3</v>
      </c>
      <c r="S71">
        <v>150</v>
      </c>
      <c r="T71">
        <v>88.651679992675781</v>
      </c>
      <c r="U71">
        <v>88.354045000000042</v>
      </c>
      <c r="V71">
        <v>125.00000000024062</v>
      </c>
      <c r="W71">
        <v>1</v>
      </c>
      <c r="X71">
        <v>4</v>
      </c>
      <c r="Y71">
        <v>3</v>
      </c>
      <c r="Z71">
        <v>66</v>
      </c>
      <c r="AA71">
        <v>52.171753883361816</v>
      </c>
      <c r="AB71">
        <v>52.142300999999861</v>
      </c>
      <c r="AC71">
        <v>125.00000000026411</v>
      </c>
      <c r="AD71">
        <v>1</v>
      </c>
      <c r="AE71">
        <v>5</v>
      </c>
      <c r="AF71">
        <v>2</v>
      </c>
      <c r="AG71">
        <v>339</v>
      </c>
      <c r="AH71">
        <v>330.57697701454163</v>
      </c>
      <c r="AI71">
        <v>329.241835000008</v>
      </c>
      <c r="AJ71">
        <v>125.00056816269931</v>
      </c>
      <c r="AK71">
        <v>2</v>
      </c>
      <c r="AL71">
        <v>2</v>
      </c>
      <c r="AM71">
        <v>3</v>
      </c>
      <c r="AN71">
        <v>331</v>
      </c>
      <c r="AO71">
        <v>170.64113593101501</v>
      </c>
      <c r="AP71">
        <v>169.94887999999628</v>
      </c>
      <c r="AQ71">
        <v>125.00000000017151</v>
      </c>
      <c r="AR71">
        <v>125.00000000028152</v>
      </c>
      <c r="AS71">
        <v>2</v>
      </c>
      <c r="AT71">
        <v>3</v>
      </c>
      <c r="AU71">
        <v>3</v>
      </c>
      <c r="AV71">
        <v>1418</v>
      </c>
      <c r="AW71">
        <v>1098.5792479515076</v>
      </c>
      <c r="AX71">
        <v>1093.0240250000061</v>
      </c>
      <c r="AY71">
        <v>125.00000000027602</v>
      </c>
      <c r="AZ71">
        <v>125.00000000021267</v>
      </c>
      <c r="BA71">
        <v>2</v>
      </c>
      <c r="BB71">
        <v>4</v>
      </c>
      <c r="BC71">
        <v>3</v>
      </c>
      <c r="BD71">
        <v>1441</v>
      </c>
      <c r="BE71">
        <v>1499.1430208683014</v>
      </c>
      <c r="BF71">
        <v>1491.5610249999881</v>
      </c>
      <c r="BG71">
        <v>125.00000000040242</v>
      </c>
      <c r="BH71">
        <v>125.0000000001958</v>
      </c>
      <c r="BI71">
        <v>2</v>
      </c>
      <c r="BJ71">
        <v>5</v>
      </c>
      <c r="BK71">
        <v>3</v>
      </c>
      <c r="BL71">
        <v>676</v>
      </c>
      <c r="BM71">
        <v>884.51660084724426</v>
      </c>
      <c r="BN71">
        <v>880.1299590000126</v>
      </c>
      <c r="BO71">
        <v>125.00000000055101</v>
      </c>
      <c r="BP71">
        <v>125.00000000015633</v>
      </c>
      <c r="BQ71">
        <v>3</v>
      </c>
      <c r="BR71">
        <v>3</v>
      </c>
      <c r="BS71">
        <v>3</v>
      </c>
      <c r="BT71">
        <v>792</v>
      </c>
      <c r="BU71">
        <v>789.46449780464172</v>
      </c>
      <c r="BV71">
        <v>785.42424399999436</v>
      </c>
      <c r="BW71">
        <v>125.0000000001634</v>
      </c>
      <c r="BX71">
        <v>125.00000000024524</v>
      </c>
      <c r="BY71">
        <v>125.00000000038361</v>
      </c>
      <c r="BZ71">
        <v>3</v>
      </c>
      <c r="CA71">
        <v>4</v>
      </c>
      <c r="CB71">
        <v>3</v>
      </c>
      <c r="CC71">
        <v>2480</v>
      </c>
      <c r="CD71">
        <v>3288.1101639270782</v>
      </c>
      <c r="CE71">
        <v>3270.0800920000038</v>
      </c>
      <c r="CF71">
        <v>125.00000000026829</v>
      </c>
      <c r="CG71">
        <v>125.00000000029129</v>
      </c>
      <c r="CH71">
        <v>125.00000000023694</v>
      </c>
      <c r="CI71">
        <v>3</v>
      </c>
      <c r="CJ71">
        <v>5</v>
      </c>
      <c r="CK71">
        <v>2</v>
      </c>
      <c r="CL71">
        <v>572</v>
      </c>
      <c r="CM71">
        <v>1172.697037935257</v>
      </c>
      <c r="CN71">
        <v>1161.6634149999882</v>
      </c>
      <c r="CO71">
        <v>125.00033533474246</v>
      </c>
      <c r="CP71">
        <v>125.00300075636382</v>
      </c>
      <c r="CQ71">
        <v>125.00051797826316</v>
      </c>
    </row>
    <row r="72" spans="1:95" s="8" customFormat="1" x14ac:dyDescent="0.35">
      <c r="A72">
        <v>1071</v>
      </c>
      <c r="B72">
        <v>1</v>
      </c>
      <c r="C72">
        <v>1</v>
      </c>
      <c r="D72">
        <v>3</v>
      </c>
      <c r="E72">
        <v>112</v>
      </c>
      <c r="F72">
        <v>27.965219020843506</v>
      </c>
      <c r="G72">
        <v>27.882166000000097</v>
      </c>
      <c r="H72">
        <v>125.00000000005262</v>
      </c>
      <c r="I72">
        <v>1</v>
      </c>
      <c r="J72">
        <v>2</v>
      </c>
      <c r="K72">
        <v>2</v>
      </c>
      <c r="L72">
        <v>383</v>
      </c>
      <c r="M72">
        <v>186.67281794548035</v>
      </c>
      <c r="N72">
        <v>181.63001800000006</v>
      </c>
      <c r="O72">
        <v>125.00843564716959</v>
      </c>
      <c r="P72">
        <v>1</v>
      </c>
      <c r="Q72">
        <v>3</v>
      </c>
      <c r="R72">
        <v>2</v>
      </c>
      <c r="S72">
        <v>497</v>
      </c>
      <c r="T72">
        <v>411.13744592666626</v>
      </c>
      <c r="U72">
        <v>404.350774</v>
      </c>
      <c r="V72">
        <v>125.02279428304507</v>
      </c>
      <c r="W72">
        <v>1</v>
      </c>
      <c r="X72">
        <v>4</v>
      </c>
      <c r="Y72">
        <v>2</v>
      </c>
      <c r="Z72">
        <v>402</v>
      </c>
      <c r="AA72">
        <v>440.99799203872681</v>
      </c>
      <c r="AB72">
        <v>434.57598400000006</v>
      </c>
      <c r="AC72">
        <v>125.05172610215699</v>
      </c>
      <c r="AD72">
        <v>1</v>
      </c>
      <c r="AE72">
        <v>5</v>
      </c>
      <c r="AF72">
        <v>2</v>
      </c>
      <c r="AG72">
        <v>380</v>
      </c>
      <c r="AH72">
        <v>499.46306896209717</v>
      </c>
      <c r="AI72">
        <v>488.1096829999999</v>
      </c>
      <c r="AJ72">
        <v>125.06177527082903</v>
      </c>
      <c r="AK72">
        <v>2</v>
      </c>
      <c r="AL72">
        <v>2</v>
      </c>
      <c r="AM72">
        <v>2</v>
      </c>
      <c r="AN72">
        <v>538</v>
      </c>
      <c r="AO72">
        <v>360.48059988021851</v>
      </c>
      <c r="AP72">
        <v>353.98442900000009</v>
      </c>
      <c r="AQ72">
        <v>125.00095122343183</v>
      </c>
      <c r="AR72">
        <v>125.17602942587888</v>
      </c>
      <c r="AS72">
        <v>2</v>
      </c>
      <c r="AT72">
        <v>3</v>
      </c>
      <c r="AU72">
        <v>2</v>
      </c>
      <c r="AV72">
        <v>405</v>
      </c>
      <c r="AW72">
        <v>402.97537088394165</v>
      </c>
      <c r="AX72">
        <v>399.87295700000004</v>
      </c>
      <c r="AY72">
        <v>125.00007737062367</v>
      </c>
      <c r="AZ72">
        <v>125.01591865364031</v>
      </c>
      <c r="BA72">
        <v>2</v>
      </c>
      <c r="BB72">
        <v>4</v>
      </c>
      <c r="BC72">
        <v>2</v>
      </c>
      <c r="BD72">
        <v>681</v>
      </c>
      <c r="BE72">
        <v>888.76763796806335</v>
      </c>
      <c r="BF72">
        <v>881.50462799999968</v>
      </c>
      <c r="BG72">
        <v>127.16008976074517</v>
      </c>
      <c r="BH72">
        <v>125.00013730137144</v>
      </c>
      <c r="BI72">
        <v>2</v>
      </c>
      <c r="BJ72">
        <v>5</v>
      </c>
      <c r="BK72">
        <v>3</v>
      </c>
      <c r="BL72">
        <v>431</v>
      </c>
      <c r="BM72">
        <v>699.18631911277771</v>
      </c>
      <c r="BN72">
        <v>693.486625</v>
      </c>
      <c r="BO72">
        <v>125.00000000021377</v>
      </c>
      <c r="BP72">
        <v>125.00000000012385</v>
      </c>
      <c r="BQ72">
        <v>3</v>
      </c>
      <c r="BR72">
        <v>3</v>
      </c>
      <c r="BS72">
        <v>3</v>
      </c>
      <c r="BT72">
        <v>309</v>
      </c>
      <c r="BU72">
        <v>376.73317003250122</v>
      </c>
      <c r="BV72">
        <v>373.60661600000003</v>
      </c>
      <c r="BW72">
        <v>125.00000000005441</v>
      </c>
      <c r="BX72">
        <v>125.00000000007692</v>
      </c>
      <c r="BY72">
        <v>125.00000000019374</v>
      </c>
      <c r="BZ72">
        <v>3</v>
      </c>
      <c r="CA72">
        <v>4</v>
      </c>
      <c r="CB72">
        <v>2</v>
      </c>
      <c r="CC72">
        <v>415</v>
      </c>
      <c r="CD72">
        <v>675.01295804977417</v>
      </c>
      <c r="CE72">
        <v>669.28888600000028</v>
      </c>
      <c r="CF72">
        <v>125.6420457463646</v>
      </c>
      <c r="CG72">
        <v>125.96960210193228</v>
      </c>
      <c r="CH72">
        <v>125.03871109408314</v>
      </c>
      <c r="CI72">
        <v>3</v>
      </c>
      <c r="CJ72">
        <v>5</v>
      </c>
      <c r="CK72">
        <v>3</v>
      </c>
      <c r="CL72">
        <v>1397</v>
      </c>
      <c r="CM72">
        <v>2778.8708968162537</v>
      </c>
      <c r="CN72">
        <v>2745.6345069999988</v>
      </c>
      <c r="CO72">
        <v>125.00000000014145</v>
      </c>
      <c r="CP72">
        <v>125.00000000016897</v>
      </c>
      <c r="CQ72">
        <v>125.00000000015913</v>
      </c>
    </row>
    <row r="73" spans="1:95" s="8" customFormat="1" x14ac:dyDescent="0.35">
      <c r="A73">
        <v>1072</v>
      </c>
      <c r="B73">
        <v>1</v>
      </c>
      <c r="C73">
        <v>1</v>
      </c>
      <c r="D73">
        <v>3</v>
      </c>
      <c r="E73">
        <v>2159</v>
      </c>
      <c r="F73">
        <v>524.10132598876953</v>
      </c>
      <c r="G73">
        <v>513.60871399999996</v>
      </c>
      <c r="H73">
        <v>125.00000000005396</v>
      </c>
      <c r="I73">
        <v>1</v>
      </c>
      <c r="J73">
        <v>2</v>
      </c>
      <c r="K73">
        <v>3</v>
      </c>
      <c r="L73">
        <v>148</v>
      </c>
      <c r="M73">
        <v>68.700268030166626</v>
      </c>
      <c r="N73">
        <v>68.360049000000799</v>
      </c>
      <c r="O73">
        <v>125.00000000007303</v>
      </c>
      <c r="P73">
        <v>1</v>
      </c>
      <c r="Q73">
        <v>3</v>
      </c>
      <c r="R73">
        <v>3</v>
      </c>
      <c r="S73">
        <v>258</v>
      </c>
      <c r="T73">
        <v>181.79358410835266</v>
      </c>
      <c r="U73">
        <v>180.9732929999991</v>
      </c>
      <c r="V73">
        <v>125.00000000008978</v>
      </c>
      <c r="W73">
        <v>1</v>
      </c>
      <c r="X73">
        <v>4</v>
      </c>
      <c r="Y73">
        <v>3</v>
      </c>
      <c r="Z73">
        <v>177</v>
      </c>
      <c r="AA73">
        <v>169.81047821044922</v>
      </c>
      <c r="AB73">
        <v>165.41700800000035</v>
      </c>
      <c r="AC73">
        <v>125.0000000001142</v>
      </c>
      <c r="AD73">
        <v>1</v>
      </c>
      <c r="AE73">
        <v>5</v>
      </c>
      <c r="AF73">
        <v>3</v>
      </c>
      <c r="AG73">
        <v>6501</v>
      </c>
      <c r="AH73">
        <v>7083.4841828346252</v>
      </c>
      <c r="AI73">
        <v>7000.7289159999982</v>
      </c>
      <c r="AJ73">
        <v>125.00000000014546</v>
      </c>
      <c r="AK73">
        <v>2</v>
      </c>
      <c r="AL73">
        <v>2</v>
      </c>
      <c r="AM73">
        <v>2</v>
      </c>
      <c r="AN73">
        <v>483</v>
      </c>
      <c r="AO73">
        <v>262.45193600654602</v>
      </c>
      <c r="AP73">
        <v>261.0046540000003</v>
      </c>
      <c r="AQ73">
        <v>125.00079560026745</v>
      </c>
      <c r="AR73">
        <v>125.518996965253</v>
      </c>
      <c r="AS73">
        <v>2</v>
      </c>
      <c r="AT73">
        <v>3</v>
      </c>
      <c r="AU73">
        <v>2</v>
      </c>
      <c r="AV73">
        <v>30136</v>
      </c>
      <c r="AW73">
        <v>28779.801987171173</v>
      </c>
      <c r="AX73">
        <v>28465.320723999997</v>
      </c>
      <c r="AY73">
        <v>126.00586768287187</v>
      </c>
      <c r="AZ73">
        <v>125.0000000229231</v>
      </c>
      <c r="BA73">
        <v>2</v>
      </c>
      <c r="BB73">
        <v>4</v>
      </c>
      <c r="BC73">
        <v>2</v>
      </c>
      <c r="BD73">
        <v>616</v>
      </c>
      <c r="BE73">
        <v>811.20151901245117</v>
      </c>
      <c r="BF73">
        <v>801.51124099999288</v>
      </c>
      <c r="BG73">
        <v>127.19009430495204</v>
      </c>
      <c r="BH73">
        <v>125.00033683188406</v>
      </c>
      <c r="BI73">
        <v>2</v>
      </c>
      <c r="BJ73">
        <v>5</v>
      </c>
      <c r="BK73">
        <v>2</v>
      </c>
      <c r="BL73">
        <v>822</v>
      </c>
      <c r="BM73">
        <v>1318.8597528934479</v>
      </c>
      <c r="BN73">
        <v>1297.0437660000025</v>
      </c>
      <c r="BO73">
        <v>128.5588444757712</v>
      </c>
      <c r="BP73">
        <v>125.00009855348942</v>
      </c>
      <c r="BQ73">
        <v>3</v>
      </c>
      <c r="BR73">
        <v>3</v>
      </c>
      <c r="BS73">
        <v>2</v>
      </c>
      <c r="BT73">
        <v>412</v>
      </c>
      <c r="BU73">
        <v>449.06682705879211</v>
      </c>
      <c r="BV73">
        <v>443.25992099999712</v>
      </c>
      <c r="BW73">
        <v>125.00000106297281</v>
      </c>
      <c r="BX73">
        <v>125.41655033517794</v>
      </c>
      <c r="BY73">
        <v>127.38356564958511</v>
      </c>
      <c r="BZ73">
        <v>3</v>
      </c>
      <c r="CA73">
        <v>4</v>
      </c>
      <c r="CB73">
        <v>3</v>
      </c>
      <c r="CC73">
        <v>3121</v>
      </c>
      <c r="CD73">
        <v>5244.6556029319763</v>
      </c>
      <c r="CE73">
        <v>5182.2017170000036</v>
      </c>
      <c r="CF73">
        <v>125.00000000008529</v>
      </c>
      <c r="CG73">
        <v>125.00000000014779</v>
      </c>
      <c r="CH73">
        <v>125.00000000013048</v>
      </c>
      <c r="CI73">
        <v>3</v>
      </c>
      <c r="CJ73">
        <v>5</v>
      </c>
      <c r="CK73">
        <v>2</v>
      </c>
      <c r="CL73">
        <v>400</v>
      </c>
      <c r="CM73">
        <v>886.9849488735199</v>
      </c>
      <c r="CN73">
        <v>878.94601900000271</v>
      </c>
      <c r="CO73">
        <v>127.35388540314992</v>
      </c>
      <c r="CP73">
        <v>127.50407845427036</v>
      </c>
      <c r="CQ73">
        <v>125.00781251940306</v>
      </c>
    </row>
    <row r="74" spans="1:95" s="8" customFormat="1" x14ac:dyDescent="0.35">
      <c r="A74">
        <v>1073</v>
      </c>
      <c r="B74">
        <v>1</v>
      </c>
      <c r="C74">
        <v>1</v>
      </c>
      <c r="D74">
        <v>2</v>
      </c>
      <c r="E74">
        <v>573</v>
      </c>
      <c r="F74">
        <v>122.69206213951111</v>
      </c>
      <c r="G74">
        <v>121.98436899999797</v>
      </c>
      <c r="H74">
        <v>125.05401554185576</v>
      </c>
      <c r="I74">
        <v>1</v>
      </c>
      <c r="J74">
        <v>2</v>
      </c>
      <c r="K74">
        <v>2</v>
      </c>
      <c r="L74">
        <v>343</v>
      </c>
      <c r="M74">
        <v>137.51221108436584</v>
      </c>
      <c r="N74">
        <v>134.09380300000339</v>
      </c>
      <c r="O74">
        <v>125.0030448359218</v>
      </c>
      <c r="P74">
        <v>1</v>
      </c>
      <c r="Q74">
        <v>3</v>
      </c>
      <c r="R74">
        <v>2</v>
      </c>
      <c r="S74">
        <v>378</v>
      </c>
      <c r="T74">
        <v>289.35738301277161</v>
      </c>
      <c r="U74">
        <v>287.67923600000358</v>
      </c>
      <c r="V74">
        <v>125.00179093908991</v>
      </c>
      <c r="W74">
        <v>1</v>
      </c>
      <c r="X74">
        <v>4</v>
      </c>
      <c r="Y74">
        <v>2</v>
      </c>
      <c r="Z74">
        <v>374</v>
      </c>
      <c r="AA74">
        <v>301.39585781097412</v>
      </c>
      <c r="AB74">
        <v>299.9103529999993</v>
      </c>
      <c r="AC74">
        <v>125.00179093908991</v>
      </c>
      <c r="AD74">
        <v>1</v>
      </c>
      <c r="AE74">
        <v>5</v>
      </c>
      <c r="AF74">
        <v>2</v>
      </c>
      <c r="AG74">
        <v>425</v>
      </c>
      <c r="AH74">
        <v>424.58837985992432</v>
      </c>
      <c r="AI74">
        <v>422.50426299998799</v>
      </c>
      <c r="AJ74">
        <v>125.00892405566512</v>
      </c>
      <c r="AK74">
        <v>2</v>
      </c>
      <c r="AL74">
        <v>2</v>
      </c>
      <c r="AM74">
        <v>2</v>
      </c>
      <c r="AN74">
        <v>368</v>
      </c>
      <c r="AO74">
        <v>190.54097294807434</v>
      </c>
      <c r="AP74">
        <v>189.74473900000157</v>
      </c>
      <c r="AQ74">
        <v>125.0030448359218</v>
      </c>
      <c r="AR74">
        <v>126.73553459096615</v>
      </c>
      <c r="AS74">
        <v>2</v>
      </c>
      <c r="AT74">
        <v>3</v>
      </c>
      <c r="AU74">
        <v>3</v>
      </c>
      <c r="AV74">
        <v>442</v>
      </c>
      <c r="AW74">
        <v>356.34787082672119</v>
      </c>
      <c r="AX74">
        <v>354.70727900000202</v>
      </c>
      <c r="AY74">
        <v>125.00000000007061</v>
      </c>
      <c r="AZ74">
        <v>125.00000000007249</v>
      </c>
      <c r="BA74">
        <v>2</v>
      </c>
      <c r="BB74">
        <v>4</v>
      </c>
      <c r="BC74">
        <v>3</v>
      </c>
      <c r="BD74">
        <v>835</v>
      </c>
      <c r="BE74">
        <v>911.74064683914185</v>
      </c>
      <c r="BF74">
        <v>906.57831999999325</v>
      </c>
      <c r="BG74">
        <v>125.00000000012335</v>
      </c>
      <c r="BH74">
        <v>125.00000000008555</v>
      </c>
      <c r="BI74">
        <v>2</v>
      </c>
      <c r="BJ74">
        <v>5</v>
      </c>
      <c r="BK74">
        <v>2</v>
      </c>
      <c r="BL74">
        <v>345</v>
      </c>
      <c r="BM74">
        <v>468.57026505470276</v>
      </c>
      <c r="BN74">
        <v>466.27977700000338</v>
      </c>
      <c r="BO74">
        <v>128.72456010357843</v>
      </c>
      <c r="BP74">
        <v>125.00357730121223</v>
      </c>
      <c r="BQ74">
        <v>3</v>
      </c>
      <c r="BR74">
        <v>3</v>
      </c>
      <c r="BS74">
        <v>2</v>
      </c>
      <c r="BT74">
        <v>345</v>
      </c>
      <c r="BU74">
        <v>366.41393113136292</v>
      </c>
      <c r="BV74">
        <v>364.3528409999999</v>
      </c>
      <c r="BW74">
        <v>125.00179093908991</v>
      </c>
      <c r="BX74">
        <v>125.34328057601746</v>
      </c>
      <c r="BY74">
        <v>127.01955522885252</v>
      </c>
      <c r="BZ74">
        <v>3</v>
      </c>
      <c r="CA74">
        <v>4</v>
      </c>
      <c r="CB74">
        <v>2</v>
      </c>
      <c r="CC74">
        <v>381</v>
      </c>
      <c r="CD74">
        <v>525.07142901420593</v>
      </c>
      <c r="CE74">
        <v>522.15766699999949</v>
      </c>
      <c r="CF74">
        <v>125.35607857409265</v>
      </c>
      <c r="CG74">
        <v>125.00756846361838</v>
      </c>
      <c r="CH74">
        <v>125.00010046706844</v>
      </c>
      <c r="CI74">
        <v>3</v>
      </c>
      <c r="CJ74">
        <v>5</v>
      </c>
      <c r="CK74">
        <v>2</v>
      </c>
      <c r="CL74">
        <v>342</v>
      </c>
      <c r="CM74">
        <v>592.04303407669067</v>
      </c>
      <c r="CN74">
        <v>588.87606900000537</v>
      </c>
      <c r="CO74">
        <v>128.16034326819494</v>
      </c>
      <c r="CP74">
        <v>127.79459706026699</v>
      </c>
      <c r="CQ74">
        <v>125.00952833819107</v>
      </c>
    </row>
    <row r="75" spans="1:95" s="8" customFormat="1" x14ac:dyDescent="0.35">
      <c r="A75">
        <v>1074</v>
      </c>
      <c r="B75">
        <v>1</v>
      </c>
      <c r="C75">
        <v>1</v>
      </c>
      <c r="D75">
        <v>3</v>
      </c>
      <c r="E75">
        <v>255</v>
      </c>
      <c r="F75">
        <v>50.590579032897949</v>
      </c>
      <c r="G75">
        <v>50.393965000002936</v>
      </c>
      <c r="H75">
        <v>125.00000000004475</v>
      </c>
      <c r="I75">
        <v>1</v>
      </c>
      <c r="J75">
        <v>2</v>
      </c>
      <c r="K75">
        <v>3</v>
      </c>
      <c r="L75">
        <v>342</v>
      </c>
      <c r="M75">
        <v>136.65113997459412</v>
      </c>
      <c r="N75">
        <v>136.02618700000312</v>
      </c>
      <c r="O75">
        <v>125.00000000005558</v>
      </c>
      <c r="P75">
        <v>1</v>
      </c>
      <c r="Q75">
        <v>3</v>
      </c>
      <c r="R75">
        <v>2</v>
      </c>
      <c r="S75">
        <v>537</v>
      </c>
      <c r="T75">
        <v>323.0287389755249</v>
      </c>
      <c r="U75">
        <v>321.28945099999692</v>
      </c>
      <c r="V75">
        <v>125.00596761969017</v>
      </c>
      <c r="W75">
        <v>1</v>
      </c>
      <c r="X75">
        <v>4</v>
      </c>
      <c r="Y75">
        <v>3</v>
      </c>
      <c r="Z75">
        <v>285</v>
      </c>
      <c r="AA75">
        <v>230.29166388511658</v>
      </c>
      <c r="AB75">
        <v>229.23464099999546</v>
      </c>
      <c r="AC75">
        <v>125.00000000006496</v>
      </c>
      <c r="AD75">
        <v>1</v>
      </c>
      <c r="AE75">
        <v>5</v>
      </c>
      <c r="AF75">
        <v>3</v>
      </c>
      <c r="AG75">
        <v>290</v>
      </c>
      <c r="AH75">
        <v>287.80515503883362</v>
      </c>
      <c r="AI75">
        <v>286.57450900001277</v>
      </c>
      <c r="AJ75">
        <v>125.0000000000842</v>
      </c>
      <c r="AK75">
        <v>2</v>
      </c>
      <c r="AL75">
        <v>2</v>
      </c>
      <c r="AM75">
        <v>2</v>
      </c>
      <c r="AN75">
        <v>751</v>
      </c>
      <c r="AO75">
        <v>394.69248294830322</v>
      </c>
      <c r="AP75">
        <v>392.77423599999747</v>
      </c>
      <c r="AQ75">
        <v>125.05331204906868</v>
      </c>
      <c r="AR75">
        <v>125.00106425344224</v>
      </c>
      <c r="AS75">
        <v>2</v>
      </c>
      <c r="AT75">
        <v>3</v>
      </c>
      <c r="AU75">
        <v>3</v>
      </c>
      <c r="AV75">
        <v>293</v>
      </c>
      <c r="AW75">
        <v>230.9987621307373</v>
      </c>
      <c r="AX75">
        <v>230.02001200000086</v>
      </c>
      <c r="AY75">
        <v>125.00000000004974</v>
      </c>
      <c r="AZ75">
        <v>125.00000000006982</v>
      </c>
      <c r="BA75">
        <v>2</v>
      </c>
      <c r="BB75">
        <v>4</v>
      </c>
      <c r="BC75">
        <v>3</v>
      </c>
      <c r="BD75">
        <v>156</v>
      </c>
      <c r="BE75">
        <v>168.8385591506958</v>
      </c>
      <c r="BF75">
        <v>168.12576699999772</v>
      </c>
      <c r="BG75">
        <v>125.00000000006874</v>
      </c>
      <c r="BH75">
        <v>125.00000000006365</v>
      </c>
      <c r="BI75">
        <v>2</v>
      </c>
      <c r="BJ75">
        <v>5</v>
      </c>
      <c r="BK75">
        <v>3</v>
      </c>
      <c r="BL75">
        <v>676</v>
      </c>
      <c r="BM75">
        <v>877.6945321559906</v>
      </c>
      <c r="BN75">
        <v>873.33611800000654</v>
      </c>
      <c r="BO75">
        <v>125.00000000010468</v>
      </c>
      <c r="BP75">
        <v>125.00000000007141</v>
      </c>
      <c r="BQ75">
        <v>3</v>
      </c>
      <c r="BR75">
        <v>3</v>
      </c>
      <c r="BS75">
        <v>2</v>
      </c>
      <c r="BT75">
        <v>503</v>
      </c>
      <c r="BU75">
        <v>491.73627185821533</v>
      </c>
      <c r="BV75">
        <v>489.23297900000034</v>
      </c>
      <c r="BW75">
        <v>125.05147198463671</v>
      </c>
      <c r="BX75">
        <v>125.00012253795667</v>
      </c>
      <c r="BY75">
        <v>125.00022393672303</v>
      </c>
      <c r="BZ75">
        <v>3</v>
      </c>
      <c r="CA75">
        <v>4</v>
      </c>
      <c r="CB75">
        <v>2</v>
      </c>
      <c r="CC75">
        <v>365</v>
      </c>
      <c r="CD75">
        <v>464.72242307662964</v>
      </c>
      <c r="CE75">
        <v>462.54904100000567</v>
      </c>
      <c r="CF75">
        <v>125.00044971605655</v>
      </c>
      <c r="CG75">
        <v>125.00596761969017</v>
      </c>
      <c r="CH75">
        <v>125.0000958378797</v>
      </c>
      <c r="CI75">
        <v>3</v>
      </c>
      <c r="CJ75">
        <v>5</v>
      </c>
      <c r="CK75">
        <v>2</v>
      </c>
      <c r="CL75">
        <v>381</v>
      </c>
      <c r="CM75">
        <v>608.77421689033508</v>
      </c>
      <c r="CN75">
        <v>605.91953600000124</v>
      </c>
      <c r="CO75">
        <v>127.58986828395783</v>
      </c>
      <c r="CP75">
        <v>127.61805765100789</v>
      </c>
      <c r="CQ75">
        <v>125.00006445840059</v>
      </c>
    </row>
    <row r="76" spans="1:95" s="8" customFormat="1" x14ac:dyDescent="0.35">
      <c r="A76">
        <v>1075</v>
      </c>
      <c r="B76">
        <v>1</v>
      </c>
      <c r="C76">
        <v>1</v>
      </c>
      <c r="D76">
        <v>2</v>
      </c>
      <c r="E76">
        <v>682</v>
      </c>
      <c r="F76">
        <v>134.09142398834229</v>
      </c>
      <c r="G76">
        <v>133.46356099999684</v>
      </c>
      <c r="H76">
        <v>125.00676687658746</v>
      </c>
      <c r="I76">
        <v>1</v>
      </c>
      <c r="J76">
        <v>2</v>
      </c>
      <c r="K76">
        <v>2</v>
      </c>
      <c r="L76">
        <v>385</v>
      </c>
      <c r="M76">
        <v>151.98435091972351</v>
      </c>
      <c r="N76">
        <v>151.33206700000301</v>
      </c>
      <c r="O76">
        <v>125.00394704968724</v>
      </c>
      <c r="P76">
        <v>1</v>
      </c>
      <c r="Q76">
        <v>3</v>
      </c>
      <c r="R76">
        <v>2</v>
      </c>
      <c r="S76">
        <v>395</v>
      </c>
      <c r="T76">
        <v>225.70830202102661</v>
      </c>
      <c r="U76">
        <v>224.80169499999465</v>
      </c>
      <c r="V76">
        <v>125.00394704968724</v>
      </c>
      <c r="W76">
        <v>1</v>
      </c>
      <c r="X76">
        <v>4</v>
      </c>
      <c r="Y76">
        <v>2</v>
      </c>
      <c r="Z76">
        <v>357</v>
      </c>
      <c r="AA76">
        <v>287.59285402297974</v>
      </c>
      <c r="AB76">
        <v>286.1278700000039</v>
      </c>
      <c r="AC76">
        <v>125.00394704968724</v>
      </c>
      <c r="AD76">
        <v>1</v>
      </c>
      <c r="AE76">
        <v>5</v>
      </c>
      <c r="AF76">
        <v>2</v>
      </c>
      <c r="AG76">
        <v>527</v>
      </c>
      <c r="AH76">
        <v>607.53008508682251</v>
      </c>
      <c r="AI76">
        <v>604.26755500000581</v>
      </c>
      <c r="AJ76">
        <v>125.02035815038114</v>
      </c>
      <c r="AK76">
        <v>2</v>
      </c>
      <c r="AL76">
        <v>2</v>
      </c>
      <c r="AM76">
        <v>2</v>
      </c>
      <c r="AN76">
        <v>354</v>
      </c>
      <c r="AO76">
        <v>219.17810201644897</v>
      </c>
      <c r="AP76">
        <v>218.08292199999414</v>
      </c>
      <c r="AQ76">
        <v>125.00676687658746</v>
      </c>
      <c r="AR76">
        <v>127.17682775425378</v>
      </c>
      <c r="AS76">
        <v>2</v>
      </c>
      <c r="AT76">
        <v>3</v>
      </c>
      <c r="AU76">
        <v>3</v>
      </c>
      <c r="AV76">
        <v>181</v>
      </c>
      <c r="AW76">
        <v>150.06187391281128</v>
      </c>
      <c r="AX76">
        <v>149.46780999999464</v>
      </c>
      <c r="AY76">
        <v>125.00000000019631</v>
      </c>
      <c r="AZ76">
        <v>125.00000000021313</v>
      </c>
      <c r="BA76">
        <v>2</v>
      </c>
      <c r="BB76">
        <v>4</v>
      </c>
      <c r="BC76">
        <v>2</v>
      </c>
      <c r="BD76">
        <v>426</v>
      </c>
      <c r="BE76">
        <v>502.58305406570435</v>
      </c>
      <c r="BF76">
        <v>499.85339899999963</v>
      </c>
      <c r="BG76">
        <v>125.04056523200047</v>
      </c>
      <c r="BH76">
        <v>125.00212797556655</v>
      </c>
      <c r="BI76">
        <v>2</v>
      </c>
      <c r="BJ76">
        <v>5</v>
      </c>
      <c r="BK76">
        <v>2</v>
      </c>
      <c r="BL76">
        <v>396</v>
      </c>
      <c r="BM76">
        <v>584.30454206466675</v>
      </c>
      <c r="BN76">
        <v>581.18718699998863</v>
      </c>
      <c r="BO76">
        <v>125.09403061746379</v>
      </c>
      <c r="BP76">
        <v>125.00169318309923</v>
      </c>
      <c r="BQ76">
        <v>3</v>
      </c>
      <c r="BR76">
        <v>3</v>
      </c>
      <c r="BS76">
        <v>3</v>
      </c>
      <c r="BT76">
        <v>690</v>
      </c>
      <c r="BU76">
        <v>805.98803091049194</v>
      </c>
      <c r="BV76">
        <v>801.19992199999979</v>
      </c>
      <c r="BW76">
        <v>125.00069703911211</v>
      </c>
      <c r="BX76">
        <v>125.00406651596901</v>
      </c>
      <c r="BY76">
        <v>127.25161909351658</v>
      </c>
      <c r="BZ76">
        <v>3</v>
      </c>
      <c r="CA76">
        <v>4</v>
      </c>
      <c r="CB76">
        <v>2</v>
      </c>
      <c r="CC76">
        <v>403</v>
      </c>
      <c r="CD76">
        <v>604.80452990531921</v>
      </c>
      <c r="CE76">
        <v>601.60280300000159</v>
      </c>
      <c r="CF76">
        <v>125.35780559090729</v>
      </c>
      <c r="CG76">
        <v>125.83363621355625</v>
      </c>
      <c r="CH76">
        <v>125.04996624962378</v>
      </c>
      <c r="CI76">
        <v>3</v>
      </c>
      <c r="CJ76">
        <v>5</v>
      </c>
      <c r="CK76">
        <v>2</v>
      </c>
      <c r="CL76">
        <v>431</v>
      </c>
      <c r="CM76">
        <v>843.53308486938477</v>
      </c>
      <c r="CN76">
        <v>839.00127500000235</v>
      </c>
      <c r="CO76">
        <v>127.30253152781616</v>
      </c>
      <c r="CP76">
        <v>127.32685886348574</v>
      </c>
      <c r="CQ76">
        <v>125.00025214712983</v>
      </c>
    </row>
    <row r="77" spans="1:95" s="8" customFormat="1" x14ac:dyDescent="0.35">
      <c r="A77">
        <v>1076</v>
      </c>
      <c r="B77">
        <v>1</v>
      </c>
      <c r="C77">
        <v>1</v>
      </c>
      <c r="D77">
        <v>3</v>
      </c>
      <c r="E77">
        <v>238</v>
      </c>
      <c r="F77">
        <v>49.2830491065979</v>
      </c>
      <c r="G77">
        <v>49.030914000017219</v>
      </c>
      <c r="H77">
        <v>125.0000000000512</v>
      </c>
      <c r="I77">
        <v>1</v>
      </c>
      <c r="J77">
        <v>2</v>
      </c>
      <c r="K77">
        <v>3</v>
      </c>
      <c r="L77">
        <v>111</v>
      </c>
      <c r="M77">
        <v>45.791933059692383</v>
      </c>
      <c r="N77">
        <v>45.629107999993721</v>
      </c>
      <c r="O77">
        <v>125.00000000006075</v>
      </c>
      <c r="P77">
        <v>1</v>
      </c>
      <c r="Q77">
        <v>3</v>
      </c>
      <c r="R77">
        <v>2</v>
      </c>
      <c r="S77">
        <v>318</v>
      </c>
      <c r="T77">
        <v>187.29003000259399</v>
      </c>
      <c r="U77">
        <v>186.4550859999872</v>
      </c>
      <c r="V77">
        <v>125.00022906073394</v>
      </c>
      <c r="W77">
        <v>1</v>
      </c>
      <c r="X77">
        <v>4</v>
      </c>
      <c r="Y77">
        <v>2</v>
      </c>
      <c r="Z77">
        <v>552</v>
      </c>
      <c r="AA77">
        <v>442.115886926651</v>
      </c>
      <c r="AB77">
        <v>435.37222800000745</v>
      </c>
      <c r="AC77">
        <v>125.04510552959691</v>
      </c>
      <c r="AD77">
        <v>1</v>
      </c>
      <c r="AE77">
        <v>5</v>
      </c>
      <c r="AF77">
        <v>2</v>
      </c>
      <c r="AG77">
        <v>338</v>
      </c>
      <c r="AH77">
        <v>335.6571900844574</v>
      </c>
      <c r="AI77">
        <v>334.08417099999497</v>
      </c>
      <c r="AJ77">
        <v>125.03656383820491</v>
      </c>
      <c r="AK77">
        <v>2</v>
      </c>
      <c r="AL77">
        <v>2</v>
      </c>
      <c r="AM77">
        <v>3</v>
      </c>
      <c r="AN77">
        <v>347</v>
      </c>
      <c r="AO77">
        <v>184.2788360118866</v>
      </c>
      <c r="AP77">
        <v>183.35905600000115</v>
      </c>
      <c r="AQ77">
        <v>125.00000000004286</v>
      </c>
      <c r="AR77">
        <v>125.00000000010432</v>
      </c>
      <c r="AS77">
        <v>2</v>
      </c>
      <c r="AT77">
        <v>3</v>
      </c>
      <c r="AU77">
        <v>2</v>
      </c>
      <c r="AV77">
        <v>538</v>
      </c>
      <c r="AW77">
        <v>427.53787589073181</v>
      </c>
      <c r="AX77">
        <v>425.17025799999828</v>
      </c>
      <c r="AY77">
        <v>126.00673602305291</v>
      </c>
      <c r="AZ77">
        <v>125.00010645298373</v>
      </c>
      <c r="BA77">
        <v>2</v>
      </c>
      <c r="BB77">
        <v>4</v>
      </c>
      <c r="BC77">
        <v>2</v>
      </c>
      <c r="BD77">
        <v>519</v>
      </c>
      <c r="BE77">
        <v>545.5890531539917</v>
      </c>
      <c r="BF77">
        <v>543.00463200001104</v>
      </c>
      <c r="BG77">
        <v>125.0002958229547</v>
      </c>
      <c r="BH77">
        <v>125.03345870923515</v>
      </c>
      <c r="BI77">
        <v>2</v>
      </c>
      <c r="BJ77">
        <v>5</v>
      </c>
      <c r="BK77">
        <v>2</v>
      </c>
      <c r="BL77">
        <v>631</v>
      </c>
      <c r="BM77">
        <v>823.85045194625854</v>
      </c>
      <c r="BN77">
        <v>819.607210999995</v>
      </c>
      <c r="BO77">
        <v>125.00363925091756</v>
      </c>
      <c r="BP77">
        <v>125.0000828822198</v>
      </c>
      <c r="BQ77">
        <v>3</v>
      </c>
      <c r="BR77">
        <v>3</v>
      </c>
      <c r="BS77">
        <v>2</v>
      </c>
      <c r="BT77">
        <v>476</v>
      </c>
      <c r="BU77">
        <v>471.68583488464355</v>
      </c>
      <c r="BV77">
        <v>469.16077100000985</v>
      </c>
      <c r="BW77">
        <v>125.00004173871807</v>
      </c>
      <c r="BX77">
        <v>125.00099977451978</v>
      </c>
      <c r="BY77">
        <v>125.00021808311806</v>
      </c>
      <c r="BZ77">
        <v>3</v>
      </c>
      <c r="CA77">
        <v>4</v>
      </c>
      <c r="CB77">
        <v>2</v>
      </c>
      <c r="CC77">
        <v>641</v>
      </c>
      <c r="CD77">
        <v>833.95711588859558</v>
      </c>
      <c r="CE77">
        <v>829.59422899999481</v>
      </c>
      <c r="CF77">
        <v>127.31090883099307</v>
      </c>
      <c r="CG77">
        <v>125.00060012406334</v>
      </c>
      <c r="CH77">
        <v>125.01902394103384</v>
      </c>
      <c r="CI77">
        <v>3</v>
      </c>
      <c r="CJ77">
        <v>5</v>
      </c>
      <c r="CK77">
        <v>2</v>
      </c>
      <c r="CL77">
        <v>335</v>
      </c>
      <c r="CM77">
        <v>550.9389979839325</v>
      </c>
      <c r="CN77">
        <v>547.98528700000315</v>
      </c>
      <c r="CO77">
        <v>127.96532103448051</v>
      </c>
      <c r="CP77">
        <v>127.84587498837533</v>
      </c>
      <c r="CQ77">
        <v>125.00007029720304</v>
      </c>
    </row>
    <row r="78" spans="1:95" s="8" customFormat="1" x14ac:dyDescent="0.35">
      <c r="A78">
        <v>1077</v>
      </c>
      <c r="B78">
        <v>1</v>
      </c>
      <c r="C78">
        <v>1</v>
      </c>
      <c r="D78">
        <v>3</v>
      </c>
      <c r="E78">
        <v>301</v>
      </c>
      <c r="F78">
        <v>60.033499956130981</v>
      </c>
      <c r="G78">
        <v>59.738325999991503</v>
      </c>
      <c r="H78">
        <v>125.00000000010166</v>
      </c>
      <c r="I78">
        <v>1</v>
      </c>
      <c r="J78">
        <v>2</v>
      </c>
      <c r="K78">
        <v>3</v>
      </c>
      <c r="L78">
        <v>157</v>
      </c>
      <c r="M78">
        <v>61.661656856536865</v>
      </c>
      <c r="N78">
        <v>61.445550000004005</v>
      </c>
      <c r="O78">
        <v>125.00000000016713</v>
      </c>
      <c r="P78">
        <v>1</v>
      </c>
      <c r="Q78">
        <v>3</v>
      </c>
      <c r="R78">
        <v>3</v>
      </c>
      <c r="S78">
        <v>263</v>
      </c>
      <c r="T78">
        <v>152.89459800720215</v>
      </c>
      <c r="U78">
        <v>152.33904999998049</v>
      </c>
      <c r="V78">
        <v>125.00000000015964</v>
      </c>
      <c r="W78">
        <v>1</v>
      </c>
      <c r="X78">
        <v>4</v>
      </c>
      <c r="Y78">
        <v>3</v>
      </c>
      <c r="Z78">
        <v>537</v>
      </c>
      <c r="AA78">
        <v>417.00176095962524</v>
      </c>
      <c r="AB78">
        <v>415.21853600000031</v>
      </c>
      <c r="AC78">
        <v>125.00006183802068</v>
      </c>
      <c r="AD78">
        <v>1</v>
      </c>
      <c r="AE78">
        <v>5</v>
      </c>
      <c r="AF78">
        <v>2</v>
      </c>
      <c r="AG78">
        <v>393</v>
      </c>
      <c r="AH78">
        <v>388.68201422691345</v>
      </c>
      <c r="AI78">
        <v>386.84562599999481</v>
      </c>
      <c r="AJ78">
        <v>125.01819922238352</v>
      </c>
      <c r="AK78">
        <v>2</v>
      </c>
      <c r="AL78">
        <v>2</v>
      </c>
      <c r="AM78">
        <v>2</v>
      </c>
      <c r="AN78">
        <v>374</v>
      </c>
      <c r="AO78">
        <v>197.80663204193115</v>
      </c>
      <c r="AP78">
        <v>196.82656200000201</v>
      </c>
      <c r="AQ78">
        <v>129.64540443707708</v>
      </c>
      <c r="AR78">
        <v>129.84978235779738</v>
      </c>
      <c r="AS78">
        <v>2</v>
      </c>
      <c r="AT78">
        <v>3</v>
      </c>
      <c r="AU78">
        <v>3</v>
      </c>
      <c r="AV78">
        <v>323</v>
      </c>
      <c r="AW78">
        <v>253.66967797279358</v>
      </c>
      <c r="AX78">
        <v>252.55771399999503</v>
      </c>
      <c r="AY78">
        <v>125.00000000015768</v>
      </c>
      <c r="AZ78">
        <v>125.00000000016405</v>
      </c>
      <c r="BA78">
        <v>2</v>
      </c>
      <c r="BB78">
        <v>4</v>
      </c>
      <c r="BC78">
        <v>2</v>
      </c>
      <c r="BD78">
        <v>393</v>
      </c>
      <c r="BE78">
        <v>410.53741693496704</v>
      </c>
      <c r="BF78">
        <v>408.84804599999916</v>
      </c>
      <c r="BG78">
        <v>125.00027985228996</v>
      </c>
      <c r="BH78">
        <v>125.00017729044166</v>
      </c>
      <c r="BI78">
        <v>2</v>
      </c>
      <c r="BJ78">
        <v>5</v>
      </c>
      <c r="BK78">
        <v>2</v>
      </c>
      <c r="BL78">
        <v>386</v>
      </c>
      <c r="BM78">
        <v>506.05345582962036</v>
      </c>
      <c r="BN78">
        <v>503.56789500001469</v>
      </c>
      <c r="BO78">
        <v>127.55823928607265</v>
      </c>
      <c r="BP78">
        <v>125.00016296817981</v>
      </c>
      <c r="BQ78">
        <v>3</v>
      </c>
      <c r="BR78">
        <v>3</v>
      </c>
      <c r="BS78">
        <v>3</v>
      </c>
      <c r="BT78">
        <v>1158</v>
      </c>
      <c r="BU78">
        <v>1127.9232580661774</v>
      </c>
      <c r="BV78">
        <v>1122.0254549999954</v>
      </c>
      <c r="BW78">
        <v>125.00000000010476</v>
      </c>
      <c r="BX78">
        <v>125.00000000017359</v>
      </c>
      <c r="BY78">
        <v>125.00000000029206</v>
      </c>
      <c r="BZ78">
        <v>3</v>
      </c>
      <c r="CA78">
        <v>4</v>
      </c>
      <c r="CB78">
        <v>2</v>
      </c>
      <c r="CC78">
        <v>492</v>
      </c>
      <c r="CD78">
        <v>639.96724200248718</v>
      </c>
      <c r="CE78">
        <v>637.00930200000585</v>
      </c>
      <c r="CF78">
        <v>129.83573797591379</v>
      </c>
      <c r="CG78">
        <v>125.00089660254812</v>
      </c>
      <c r="CH78">
        <v>125.00142771019088</v>
      </c>
      <c r="CI78">
        <v>3</v>
      </c>
      <c r="CJ78">
        <v>5</v>
      </c>
      <c r="CK78">
        <v>2</v>
      </c>
      <c r="CL78">
        <v>412</v>
      </c>
      <c r="CM78">
        <v>668.13618302345276</v>
      </c>
      <c r="CN78">
        <v>664.82220100000268</v>
      </c>
      <c r="CO78">
        <v>125.03356475139402</v>
      </c>
      <c r="CP78">
        <v>126.087551680232</v>
      </c>
      <c r="CQ78">
        <v>125.00023197804157</v>
      </c>
    </row>
    <row r="79" spans="1:95" s="8" customFormat="1" x14ac:dyDescent="0.35">
      <c r="A79">
        <v>1078</v>
      </c>
      <c r="B79">
        <v>1</v>
      </c>
      <c r="C79">
        <v>1</v>
      </c>
      <c r="D79">
        <v>3</v>
      </c>
      <c r="E79">
        <v>85</v>
      </c>
      <c r="F79">
        <v>17.139917135238647</v>
      </c>
      <c r="G79">
        <v>17.108755000008387</v>
      </c>
      <c r="H79">
        <v>125.00000000008833</v>
      </c>
      <c r="I79">
        <v>1</v>
      </c>
      <c r="J79">
        <v>2</v>
      </c>
      <c r="K79">
        <v>3</v>
      </c>
      <c r="L79">
        <v>258</v>
      </c>
      <c r="M79">
        <v>101.66699600219727</v>
      </c>
      <c r="N79">
        <v>101.27193599999009</v>
      </c>
      <c r="O79">
        <v>125.00000000010064</v>
      </c>
      <c r="P79">
        <v>1</v>
      </c>
      <c r="Q79">
        <v>3</v>
      </c>
      <c r="R79">
        <v>3</v>
      </c>
      <c r="S79">
        <v>269</v>
      </c>
      <c r="T79">
        <v>159.92723298072815</v>
      </c>
      <c r="U79">
        <v>159.31541599999764</v>
      </c>
      <c r="V79">
        <v>125.00000000012325</v>
      </c>
      <c r="W79">
        <v>1</v>
      </c>
      <c r="X79">
        <v>4</v>
      </c>
      <c r="Y79">
        <v>2</v>
      </c>
      <c r="Z79">
        <v>378</v>
      </c>
      <c r="AA79">
        <v>296.29282212257385</v>
      </c>
      <c r="AB79">
        <v>294.89213100000052</v>
      </c>
      <c r="AC79">
        <v>125.03240202465895</v>
      </c>
      <c r="AD79">
        <v>1</v>
      </c>
      <c r="AE79">
        <v>5</v>
      </c>
      <c r="AF79">
        <v>3</v>
      </c>
      <c r="AG79">
        <v>278</v>
      </c>
      <c r="AH79">
        <v>272.65073204040527</v>
      </c>
      <c r="AI79">
        <v>271.29268799998681</v>
      </c>
      <c r="AJ79">
        <v>125.00000000021637</v>
      </c>
      <c r="AK79">
        <v>2</v>
      </c>
      <c r="AL79">
        <v>2</v>
      </c>
      <c r="AM79">
        <v>3</v>
      </c>
      <c r="AN79">
        <v>441</v>
      </c>
      <c r="AO79">
        <v>233.77417898178101</v>
      </c>
      <c r="AP79">
        <v>232.4952930000145</v>
      </c>
      <c r="AQ79">
        <v>125.0000000000734</v>
      </c>
      <c r="AR79">
        <v>125.00000000015979</v>
      </c>
      <c r="AS79">
        <v>2</v>
      </c>
      <c r="AT79">
        <v>3</v>
      </c>
      <c r="AU79">
        <v>3</v>
      </c>
      <c r="AV79">
        <v>313</v>
      </c>
      <c r="AW79">
        <v>247.17466306686401</v>
      </c>
      <c r="AX79">
        <v>245.93157100000826</v>
      </c>
      <c r="AY79">
        <v>125.00000000011877</v>
      </c>
      <c r="AZ79">
        <v>125.00000000012773</v>
      </c>
      <c r="BA79">
        <v>2</v>
      </c>
      <c r="BB79">
        <v>4</v>
      </c>
      <c r="BC79">
        <v>2</v>
      </c>
      <c r="BD79">
        <v>347</v>
      </c>
      <c r="BE79">
        <v>356.98792505264282</v>
      </c>
      <c r="BF79">
        <v>355.46213899999566</v>
      </c>
      <c r="BG79">
        <v>128.17179303489382</v>
      </c>
      <c r="BH79">
        <v>125.0028404143751</v>
      </c>
      <c r="BI79">
        <v>2</v>
      </c>
      <c r="BJ79">
        <v>5</v>
      </c>
      <c r="BK79">
        <v>2</v>
      </c>
      <c r="BL79">
        <v>400</v>
      </c>
      <c r="BM79">
        <v>530.03931999206543</v>
      </c>
      <c r="BN79">
        <v>527.47334399998363</v>
      </c>
      <c r="BO79">
        <v>128.66355127313417</v>
      </c>
      <c r="BP79">
        <v>125.0043317766148</v>
      </c>
      <c r="BQ79">
        <v>3</v>
      </c>
      <c r="BR79">
        <v>3</v>
      </c>
      <c r="BS79">
        <v>2</v>
      </c>
      <c r="BT79">
        <v>1119</v>
      </c>
      <c r="BU79">
        <v>1109.0575652122498</v>
      </c>
      <c r="BV79">
        <v>1103.0890970000037</v>
      </c>
      <c r="BW79">
        <v>125.06455995441722</v>
      </c>
      <c r="BX79">
        <v>125.00170041913499</v>
      </c>
      <c r="BY79">
        <v>125.26273755933417</v>
      </c>
      <c r="BZ79">
        <v>3</v>
      </c>
      <c r="CA79">
        <v>4</v>
      </c>
      <c r="CB79">
        <v>3</v>
      </c>
      <c r="CC79">
        <v>3979</v>
      </c>
      <c r="CD79">
        <v>5190.7646360397339</v>
      </c>
      <c r="CE79">
        <v>5163.4622139999847</v>
      </c>
      <c r="CF79">
        <v>125.00000000012459</v>
      </c>
      <c r="CG79">
        <v>125.00000000018497</v>
      </c>
      <c r="CH79">
        <v>125.00000000018217</v>
      </c>
      <c r="CI79">
        <v>3</v>
      </c>
      <c r="CJ79">
        <v>5</v>
      </c>
      <c r="CK79">
        <v>2</v>
      </c>
      <c r="CL79">
        <v>361</v>
      </c>
      <c r="CM79">
        <v>688.93781518936157</v>
      </c>
      <c r="CN79">
        <v>683.70712700000149</v>
      </c>
      <c r="CO79">
        <v>127.99369882198754</v>
      </c>
      <c r="CP79">
        <v>127.54759034523235</v>
      </c>
      <c r="CQ79">
        <v>125.01644878100726</v>
      </c>
    </row>
    <row r="80" spans="1:95" s="8" customFormat="1" x14ac:dyDescent="0.35">
      <c r="A80">
        <v>1079</v>
      </c>
      <c r="B80">
        <v>1</v>
      </c>
      <c r="C80">
        <v>1</v>
      </c>
      <c r="D80">
        <v>3</v>
      </c>
      <c r="E80">
        <v>260</v>
      </c>
      <c r="F80">
        <v>64.446135997772217</v>
      </c>
      <c r="G80">
        <v>64.004865999988397</v>
      </c>
      <c r="H80">
        <v>125.00000000006402</v>
      </c>
      <c r="I80">
        <v>1</v>
      </c>
      <c r="J80">
        <v>2</v>
      </c>
      <c r="K80">
        <v>2</v>
      </c>
      <c r="L80">
        <v>394</v>
      </c>
      <c r="M80">
        <v>184.89937686920166</v>
      </c>
      <c r="N80">
        <v>183.51735000000917</v>
      </c>
      <c r="O80">
        <v>125.04820243397589</v>
      </c>
      <c r="P80">
        <v>1</v>
      </c>
      <c r="Q80">
        <v>3</v>
      </c>
      <c r="R80">
        <v>2</v>
      </c>
      <c r="S80">
        <v>460</v>
      </c>
      <c r="T80">
        <v>327.46070194244385</v>
      </c>
      <c r="U80">
        <v>324.95879599999171</v>
      </c>
      <c r="V80">
        <v>125.03441361562162</v>
      </c>
      <c r="W80">
        <v>1</v>
      </c>
      <c r="X80">
        <v>4</v>
      </c>
      <c r="Y80">
        <v>2</v>
      </c>
      <c r="Z80">
        <v>397</v>
      </c>
      <c r="AA80">
        <v>394.38175201416016</v>
      </c>
      <c r="AB80">
        <v>391.16432999999961</v>
      </c>
      <c r="AC80">
        <v>125.04820243397589</v>
      </c>
      <c r="AD80">
        <v>1</v>
      </c>
      <c r="AE80">
        <v>5</v>
      </c>
      <c r="AF80">
        <v>2</v>
      </c>
      <c r="AG80">
        <v>381</v>
      </c>
      <c r="AH80">
        <v>466.74473309516907</v>
      </c>
      <c r="AI80">
        <v>463.26430500000424</v>
      </c>
      <c r="AJ80">
        <v>125.04820243397589</v>
      </c>
      <c r="AK80">
        <v>2</v>
      </c>
      <c r="AL80">
        <v>2</v>
      </c>
      <c r="AM80">
        <v>2</v>
      </c>
      <c r="AN80">
        <v>545</v>
      </c>
      <c r="AO80">
        <v>314.21050596237183</v>
      </c>
      <c r="AP80">
        <v>311.89767800000845</v>
      </c>
      <c r="AQ80">
        <v>125.00113872088231</v>
      </c>
      <c r="AR80">
        <v>125.14322300671725</v>
      </c>
      <c r="AS80">
        <v>2</v>
      </c>
      <c r="AT80">
        <v>3</v>
      </c>
      <c r="AU80">
        <v>2</v>
      </c>
      <c r="AV80">
        <v>518</v>
      </c>
      <c r="AW80">
        <v>436.22066497802734</v>
      </c>
      <c r="AX80">
        <v>433.03361699997913</v>
      </c>
      <c r="AY80">
        <v>125.00008408106132</v>
      </c>
      <c r="AZ80">
        <v>125.2339780454634</v>
      </c>
      <c r="BA80">
        <v>2</v>
      </c>
      <c r="BB80">
        <v>4</v>
      </c>
      <c r="BC80">
        <v>2</v>
      </c>
      <c r="BD80">
        <v>29373</v>
      </c>
      <c r="BE80">
        <v>30582.053279161453</v>
      </c>
      <c r="BF80">
        <v>30417.738068000021</v>
      </c>
      <c r="BG80">
        <v>125.00000023286232</v>
      </c>
      <c r="BH80">
        <v>125.04820243397589</v>
      </c>
      <c r="BI80">
        <v>2</v>
      </c>
      <c r="BJ80">
        <v>5</v>
      </c>
      <c r="BK80">
        <v>2</v>
      </c>
      <c r="BL80">
        <v>391</v>
      </c>
      <c r="BM80">
        <v>485.45485997200012</v>
      </c>
      <c r="BN80">
        <v>483.0988789999974</v>
      </c>
      <c r="BO80">
        <v>127.74296568301835</v>
      </c>
      <c r="BP80">
        <v>125.0753564789735</v>
      </c>
      <c r="BQ80">
        <v>3</v>
      </c>
      <c r="BR80">
        <v>3</v>
      </c>
      <c r="BS80">
        <v>2</v>
      </c>
      <c r="BT80">
        <v>532</v>
      </c>
      <c r="BU80">
        <v>493.59474897384644</v>
      </c>
      <c r="BV80">
        <v>491.13798699999461</v>
      </c>
      <c r="BW80">
        <v>125.00099613593369</v>
      </c>
      <c r="BX80">
        <v>125.14322300671725</v>
      </c>
      <c r="BY80">
        <v>127.54797469909305</v>
      </c>
      <c r="BZ80">
        <v>3</v>
      </c>
      <c r="CA80">
        <v>4</v>
      </c>
      <c r="CB80">
        <v>2</v>
      </c>
      <c r="CC80">
        <v>355</v>
      </c>
      <c r="CD80">
        <v>441.21090912818909</v>
      </c>
      <c r="CE80">
        <v>439.16312599999947</v>
      </c>
      <c r="CF80">
        <v>125.00003086751836</v>
      </c>
      <c r="CG80">
        <v>125.81494775999045</v>
      </c>
      <c r="CH80">
        <v>125.65885548180592</v>
      </c>
      <c r="CI80">
        <v>3</v>
      </c>
      <c r="CJ80">
        <v>5</v>
      </c>
      <c r="CK80">
        <v>3</v>
      </c>
      <c r="CL80">
        <v>1064</v>
      </c>
      <c r="CM80">
        <v>1658.2254889011383</v>
      </c>
      <c r="CN80">
        <v>1649.8327550000104</v>
      </c>
      <c r="CO80">
        <v>125.00000000014758</v>
      </c>
      <c r="CP80">
        <v>125.00000000017936</v>
      </c>
      <c r="CQ80">
        <v>125.0000000001595</v>
      </c>
    </row>
    <row r="81" spans="1:95" s="8" customFormat="1" x14ac:dyDescent="0.35">
      <c r="A81">
        <v>1080</v>
      </c>
      <c r="B81">
        <v>1</v>
      </c>
      <c r="C81">
        <v>1</v>
      </c>
      <c r="D81">
        <v>3</v>
      </c>
      <c r="E81">
        <v>245</v>
      </c>
      <c r="F81">
        <v>46.129729986190796</v>
      </c>
      <c r="G81">
        <v>45.975363000005018</v>
      </c>
      <c r="H81">
        <v>125.00000000016892</v>
      </c>
      <c r="I81">
        <v>1</v>
      </c>
      <c r="J81">
        <v>2</v>
      </c>
      <c r="K81">
        <v>3</v>
      </c>
      <c r="L81">
        <v>140</v>
      </c>
      <c r="M81">
        <v>52.031522035598755</v>
      </c>
      <c r="N81">
        <v>51.912825000006706</v>
      </c>
      <c r="O81">
        <v>125.00000000014451</v>
      </c>
      <c r="P81">
        <v>1</v>
      </c>
      <c r="Q81">
        <v>3</v>
      </c>
      <c r="R81">
        <v>3</v>
      </c>
      <c r="S81">
        <v>86</v>
      </c>
      <c r="T81">
        <v>47.715146064758301</v>
      </c>
      <c r="U81">
        <v>47.67740899999626</v>
      </c>
      <c r="V81">
        <v>125.00000000014434</v>
      </c>
      <c r="W81">
        <v>1</v>
      </c>
      <c r="X81">
        <v>4</v>
      </c>
      <c r="Y81">
        <v>3</v>
      </c>
      <c r="Z81">
        <v>113</v>
      </c>
      <c r="AA81">
        <v>83.566137075424194</v>
      </c>
      <c r="AB81">
        <v>83.417506000012509</v>
      </c>
      <c r="AC81">
        <v>125.00000000013938</v>
      </c>
      <c r="AD81">
        <v>1</v>
      </c>
      <c r="AE81">
        <v>5</v>
      </c>
      <c r="AF81">
        <v>3</v>
      </c>
      <c r="AG81">
        <v>233</v>
      </c>
      <c r="AH81">
        <v>214.59837293624878</v>
      </c>
      <c r="AI81">
        <v>213.89049499999965</v>
      </c>
      <c r="AJ81">
        <v>125.00000000015012</v>
      </c>
      <c r="AK81">
        <v>2</v>
      </c>
      <c r="AL81">
        <v>2</v>
      </c>
      <c r="AM81">
        <v>3</v>
      </c>
      <c r="AN81">
        <v>1817</v>
      </c>
      <c r="AO81">
        <v>961.11049604415894</v>
      </c>
      <c r="AP81">
        <v>954.06715600000462</v>
      </c>
      <c r="AQ81">
        <v>125.00000000014683</v>
      </c>
      <c r="AR81">
        <v>125.00000000014236</v>
      </c>
      <c r="AS81">
        <v>2</v>
      </c>
      <c r="AT81">
        <v>3</v>
      </c>
      <c r="AU81">
        <v>3</v>
      </c>
      <c r="AV81">
        <v>265</v>
      </c>
      <c r="AW81">
        <v>207.34968996047974</v>
      </c>
      <c r="AX81">
        <v>206.51877300000342</v>
      </c>
      <c r="AY81">
        <v>125.00000000023994</v>
      </c>
      <c r="AZ81">
        <v>125.00000000010276</v>
      </c>
      <c r="BA81">
        <v>2</v>
      </c>
      <c r="BB81">
        <v>4</v>
      </c>
      <c r="BC81">
        <v>2</v>
      </c>
      <c r="BD81">
        <v>475</v>
      </c>
      <c r="BE81">
        <v>503.9681031703949</v>
      </c>
      <c r="BF81">
        <v>501.39956000001985</v>
      </c>
      <c r="BG81">
        <v>127.91964353359421</v>
      </c>
      <c r="BH81">
        <v>125.01132584395249</v>
      </c>
      <c r="BI81">
        <v>2</v>
      </c>
      <c r="BJ81">
        <v>5</v>
      </c>
      <c r="BK81">
        <v>2</v>
      </c>
      <c r="BL81">
        <v>343</v>
      </c>
      <c r="BM81">
        <v>448.85365390777588</v>
      </c>
      <c r="BN81">
        <v>446.98495600000024</v>
      </c>
      <c r="BO81">
        <v>128.37417678626164</v>
      </c>
      <c r="BP81">
        <v>125.00802759939133</v>
      </c>
      <c r="BQ81">
        <v>3</v>
      </c>
      <c r="BR81">
        <v>3</v>
      </c>
      <c r="BS81">
        <v>3</v>
      </c>
      <c r="BT81">
        <v>661</v>
      </c>
      <c r="BU81">
        <v>651.76814413070679</v>
      </c>
      <c r="BV81">
        <v>648.5470340000029</v>
      </c>
      <c r="BW81">
        <v>125.00000000016064</v>
      </c>
      <c r="BX81">
        <v>125.00000000010786</v>
      </c>
      <c r="BY81">
        <v>125.00000000018997</v>
      </c>
      <c r="BZ81">
        <v>3</v>
      </c>
      <c r="CA81">
        <v>4</v>
      </c>
      <c r="CB81">
        <v>3</v>
      </c>
      <c r="CC81">
        <v>535</v>
      </c>
      <c r="CD81">
        <v>700.73722815513611</v>
      </c>
      <c r="CE81">
        <v>697.56600799999433</v>
      </c>
      <c r="CF81">
        <v>125.00000000023742</v>
      </c>
      <c r="CG81">
        <v>125.00000000012945</v>
      </c>
      <c r="CH81">
        <v>125.0000000001082</v>
      </c>
      <c r="CI81">
        <v>3</v>
      </c>
      <c r="CJ81">
        <v>5</v>
      </c>
      <c r="CK81">
        <v>2</v>
      </c>
      <c r="CL81">
        <v>363</v>
      </c>
      <c r="CM81">
        <v>598.72008013725281</v>
      </c>
      <c r="CN81">
        <v>595.75932900000771</v>
      </c>
      <c r="CO81">
        <v>127.6218188115317</v>
      </c>
      <c r="CP81">
        <v>127.59514207410417</v>
      </c>
      <c r="CQ81">
        <v>125.00352677421353</v>
      </c>
    </row>
    <row r="82" spans="1:95" s="8" customFormat="1" x14ac:dyDescent="0.35">
      <c r="A82">
        <v>1081</v>
      </c>
      <c r="B82">
        <v>1</v>
      </c>
      <c r="C82">
        <v>1</v>
      </c>
      <c r="D82">
        <v>3</v>
      </c>
      <c r="E82">
        <v>415</v>
      </c>
      <c r="F82">
        <v>85.142806053161621</v>
      </c>
      <c r="G82">
        <v>84.68618099999992</v>
      </c>
      <c r="H82">
        <v>134.99999999923153</v>
      </c>
      <c r="I82">
        <v>1</v>
      </c>
      <c r="J82">
        <v>2</v>
      </c>
      <c r="K82">
        <v>3</v>
      </c>
      <c r="L82">
        <v>434</v>
      </c>
      <c r="M82">
        <v>178.62687611579895</v>
      </c>
      <c r="N82">
        <v>177.77298799999994</v>
      </c>
      <c r="O82">
        <v>134.99999999915156</v>
      </c>
      <c r="P82">
        <v>1</v>
      </c>
      <c r="Q82">
        <v>3</v>
      </c>
      <c r="R82">
        <v>3</v>
      </c>
      <c r="S82">
        <v>768</v>
      </c>
      <c r="T82">
        <v>456.75002002716064</v>
      </c>
      <c r="U82">
        <v>454.42589999999996</v>
      </c>
      <c r="V82">
        <v>134.99999999904108</v>
      </c>
      <c r="W82">
        <v>1</v>
      </c>
      <c r="X82">
        <v>4</v>
      </c>
      <c r="Y82">
        <v>3</v>
      </c>
      <c r="Z82">
        <v>980</v>
      </c>
      <c r="AA82">
        <v>757.42913413047791</v>
      </c>
      <c r="AB82">
        <v>754.07742899999994</v>
      </c>
      <c r="AC82">
        <v>134.99999999890696</v>
      </c>
      <c r="AD82">
        <v>1</v>
      </c>
      <c r="AE82">
        <v>5</v>
      </c>
      <c r="AF82">
        <v>3</v>
      </c>
      <c r="AG82">
        <v>262</v>
      </c>
      <c r="AH82">
        <v>259.41908502578735</v>
      </c>
      <c r="AI82">
        <v>258.31831299999976</v>
      </c>
      <c r="AJ82">
        <v>134.99999999875547</v>
      </c>
      <c r="AK82">
        <v>2</v>
      </c>
      <c r="AL82">
        <v>2</v>
      </c>
      <c r="AM82">
        <v>3</v>
      </c>
      <c r="AN82">
        <v>1249</v>
      </c>
      <c r="AO82">
        <v>659.24117994308472</v>
      </c>
      <c r="AP82">
        <v>655.61444399999982</v>
      </c>
      <c r="AQ82">
        <v>134.99999999932098</v>
      </c>
      <c r="AR82">
        <v>134.9999999988697</v>
      </c>
      <c r="AS82">
        <v>2</v>
      </c>
      <c r="AT82">
        <v>3</v>
      </c>
      <c r="AU82">
        <v>3</v>
      </c>
      <c r="AV82">
        <v>1698</v>
      </c>
      <c r="AW82">
        <v>1322.5491399765015</v>
      </c>
      <c r="AX82">
        <v>1315.7110010000001</v>
      </c>
      <c r="AY82">
        <v>134.99999999891813</v>
      </c>
      <c r="AZ82">
        <v>134.99999999913922</v>
      </c>
      <c r="BA82">
        <v>2</v>
      </c>
      <c r="BB82">
        <v>4</v>
      </c>
      <c r="BC82">
        <v>3</v>
      </c>
      <c r="BD82">
        <v>869</v>
      </c>
      <c r="BE82">
        <v>914.18756794929504</v>
      </c>
      <c r="BF82">
        <v>909.28440200000023</v>
      </c>
      <c r="BG82">
        <v>134.99999999838204</v>
      </c>
      <c r="BH82">
        <v>134.99999999917489</v>
      </c>
      <c r="BI82">
        <v>2</v>
      </c>
      <c r="BJ82">
        <v>5</v>
      </c>
      <c r="BK82">
        <v>3</v>
      </c>
      <c r="BL82">
        <v>1107</v>
      </c>
      <c r="BM82">
        <v>1532.8850810527802</v>
      </c>
      <c r="BN82">
        <v>1524.5846059999994</v>
      </c>
      <c r="BO82">
        <v>134.9999999976956</v>
      </c>
      <c r="BP82">
        <v>134.99999999914763</v>
      </c>
      <c r="BQ82">
        <v>3</v>
      </c>
      <c r="BR82">
        <v>3</v>
      </c>
      <c r="BS82">
        <v>3</v>
      </c>
      <c r="BT82">
        <v>1116</v>
      </c>
      <c r="BU82">
        <v>1258.9103760719299</v>
      </c>
      <c r="BV82">
        <v>1251.4588989999993</v>
      </c>
      <c r="BW82">
        <v>134.99999999927883</v>
      </c>
      <c r="BX82">
        <v>134.99999999909693</v>
      </c>
      <c r="BY82">
        <v>134.99999999842564</v>
      </c>
      <c r="BZ82">
        <v>3</v>
      </c>
      <c r="CA82">
        <v>4</v>
      </c>
      <c r="CB82">
        <v>3</v>
      </c>
      <c r="CC82">
        <v>937</v>
      </c>
      <c r="CD82">
        <v>1149.4057998657227</v>
      </c>
      <c r="CE82">
        <v>1144.3117009999987</v>
      </c>
      <c r="CF82">
        <v>134.99999999892117</v>
      </c>
      <c r="CG82">
        <v>134.9999999987977</v>
      </c>
      <c r="CH82">
        <v>134.99999999898623</v>
      </c>
      <c r="CI82">
        <v>3</v>
      </c>
      <c r="CJ82">
        <v>5</v>
      </c>
      <c r="CK82">
        <v>3</v>
      </c>
      <c r="CL82">
        <v>1239</v>
      </c>
      <c r="CM82">
        <v>1557.3188469409943</v>
      </c>
      <c r="CN82">
        <v>1551.8088940000016</v>
      </c>
      <c r="CO82">
        <v>134.99999999846384</v>
      </c>
      <c r="CP82">
        <v>134.99999999839227</v>
      </c>
      <c r="CQ82">
        <v>134.99999999912134</v>
      </c>
    </row>
    <row r="83" spans="1:95" s="8" customFormat="1" x14ac:dyDescent="0.35">
      <c r="A83">
        <v>1082</v>
      </c>
      <c r="B83">
        <v>1</v>
      </c>
      <c r="C83">
        <v>1</v>
      </c>
      <c r="D83">
        <v>2</v>
      </c>
      <c r="E83">
        <v>256</v>
      </c>
      <c r="F83">
        <v>34.791046142578125</v>
      </c>
      <c r="G83">
        <v>34.723008999999365</v>
      </c>
      <c r="H83">
        <v>130.00000096826363</v>
      </c>
      <c r="I83">
        <v>1</v>
      </c>
      <c r="J83">
        <v>2</v>
      </c>
      <c r="K83">
        <v>3</v>
      </c>
      <c r="L83">
        <v>257</v>
      </c>
      <c r="M83">
        <v>69.649036884307861</v>
      </c>
      <c r="N83">
        <v>69.459734000001845</v>
      </c>
      <c r="O83">
        <v>134.99999999997857</v>
      </c>
      <c r="P83">
        <v>1</v>
      </c>
      <c r="Q83">
        <v>3</v>
      </c>
      <c r="R83">
        <v>3</v>
      </c>
      <c r="S83">
        <v>105</v>
      </c>
      <c r="T83">
        <v>42.272125959396362</v>
      </c>
      <c r="U83">
        <v>42.234026999998605</v>
      </c>
      <c r="V83">
        <v>134.99999999995921</v>
      </c>
      <c r="W83">
        <v>1</v>
      </c>
      <c r="X83">
        <v>4</v>
      </c>
      <c r="Y83">
        <v>3</v>
      </c>
      <c r="Z83">
        <v>965</v>
      </c>
      <c r="AA83">
        <v>514.2284197807312</v>
      </c>
      <c r="AB83">
        <v>512.37663099999918</v>
      </c>
      <c r="AC83">
        <v>134.99999999991621</v>
      </c>
      <c r="AD83">
        <v>1</v>
      </c>
      <c r="AE83">
        <v>5</v>
      </c>
      <c r="AF83">
        <v>3</v>
      </c>
      <c r="AG83">
        <v>598</v>
      </c>
      <c r="AH83">
        <v>398.14651894569397</v>
      </c>
      <c r="AI83">
        <v>396.89988900000026</v>
      </c>
      <c r="AJ83">
        <v>134.9999999998779</v>
      </c>
      <c r="AK83">
        <v>2</v>
      </c>
      <c r="AL83">
        <v>2</v>
      </c>
      <c r="AM83">
        <v>3</v>
      </c>
      <c r="AN83">
        <v>203</v>
      </c>
      <c r="AO83">
        <v>72.70465087890625</v>
      </c>
      <c r="AP83">
        <v>72.512941999999384</v>
      </c>
      <c r="AQ83">
        <v>134.99999999998275</v>
      </c>
      <c r="AR83">
        <v>134.99999999997172</v>
      </c>
      <c r="AS83">
        <v>2</v>
      </c>
      <c r="AT83">
        <v>3</v>
      </c>
      <c r="AU83">
        <v>3</v>
      </c>
      <c r="AV83">
        <v>287</v>
      </c>
      <c r="AW83">
        <v>154.10420989990234</v>
      </c>
      <c r="AX83">
        <v>153.63768000000164</v>
      </c>
      <c r="AY83">
        <v>134.99999999995094</v>
      </c>
      <c r="AZ83">
        <v>134.99999999996356</v>
      </c>
      <c r="BA83">
        <v>2</v>
      </c>
      <c r="BB83">
        <v>4</v>
      </c>
      <c r="BC83">
        <v>3</v>
      </c>
      <c r="BD83">
        <v>948</v>
      </c>
      <c r="BE83">
        <v>675.70264482498169</v>
      </c>
      <c r="BF83">
        <v>673.29522100000031</v>
      </c>
      <c r="BG83">
        <v>134.9999999996958</v>
      </c>
      <c r="BH83">
        <v>134.99999999995092</v>
      </c>
      <c r="BI83">
        <v>2</v>
      </c>
      <c r="BJ83">
        <v>5</v>
      </c>
      <c r="BK83">
        <v>3</v>
      </c>
      <c r="BL83">
        <v>999</v>
      </c>
      <c r="BM83">
        <v>1251.9534978866577</v>
      </c>
      <c r="BN83">
        <v>1246.0075049999996</v>
      </c>
      <c r="BO83">
        <v>134.99999999932595</v>
      </c>
      <c r="BP83">
        <v>134.9999999999321</v>
      </c>
      <c r="BQ83">
        <v>3</v>
      </c>
      <c r="BR83">
        <v>3</v>
      </c>
      <c r="BS83">
        <v>3</v>
      </c>
      <c r="BT83">
        <v>1048</v>
      </c>
      <c r="BU83">
        <v>1029.0628068447113</v>
      </c>
      <c r="BV83">
        <v>1024.1836809999986</v>
      </c>
      <c r="BW83">
        <v>134.99999999996732</v>
      </c>
      <c r="BX83">
        <v>134.99999999996152</v>
      </c>
      <c r="BY83">
        <v>134.99999999993412</v>
      </c>
      <c r="BZ83">
        <v>3</v>
      </c>
      <c r="CA83">
        <v>4</v>
      </c>
      <c r="CB83">
        <v>3</v>
      </c>
      <c r="CC83">
        <v>998</v>
      </c>
      <c r="CD83">
        <v>1402.5441679954529</v>
      </c>
      <c r="CE83">
        <v>1395.5536809999994</v>
      </c>
      <c r="CF83">
        <v>134.9999999997886</v>
      </c>
      <c r="CG83">
        <v>134.99999999992471</v>
      </c>
      <c r="CH83">
        <v>134.99999999993759</v>
      </c>
      <c r="CI83">
        <v>3</v>
      </c>
      <c r="CJ83">
        <v>5</v>
      </c>
      <c r="CK83">
        <v>3</v>
      </c>
      <c r="CL83">
        <v>1323</v>
      </c>
      <c r="CM83">
        <v>2223.1777441501617</v>
      </c>
      <c r="CN83">
        <v>2211.8817139999992</v>
      </c>
      <c r="CO83">
        <v>134.99999999953764</v>
      </c>
      <c r="CP83">
        <v>134.99999999986676</v>
      </c>
      <c r="CQ83">
        <v>134.99999999992875</v>
      </c>
    </row>
    <row r="84" spans="1:95" s="8" customFormat="1" x14ac:dyDescent="0.35">
      <c r="A84">
        <v>1083</v>
      </c>
      <c r="B84">
        <v>1</v>
      </c>
      <c r="C84">
        <v>1</v>
      </c>
      <c r="D84">
        <v>3</v>
      </c>
      <c r="E84">
        <v>261</v>
      </c>
      <c r="F84">
        <v>42.65672779083252</v>
      </c>
      <c r="G84">
        <v>42.559888000003411</v>
      </c>
      <c r="H84">
        <v>125.00000000022197</v>
      </c>
      <c r="I84">
        <v>1</v>
      </c>
      <c r="J84">
        <v>2</v>
      </c>
      <c r="K84">
        <v>3</v>
      </c>
      <c r="L84">
        <v>230</v>
      </c>
      <c r="M84">
        <v>74.48872709274292</v>
      </c>
      <c r="N84">
        <v>74.287078999997902</v>
      </c>
      <c r="O84">
        <v>125.00000000025737</v>
      </c>
      <c r="P84">
        <v>1</v>
      </c>
      <c r="Q84">
        <v>3</v>
      </c>
      <c r="R84">
        <v>3</v>
      </c>
      <c r="S84">
        <v>507</v>
      </c>
      <c r="T84">
        <v>242.56251001358032</v>
      </c>
      <c r="U84">
        <v>241.65881699999954</v>
      </c>
      <c r="V84">
        <v>125.00000000028508</v>
      </c>
      <c r="W84">
        <v>1</v>
      </c>
      <c r="X84">
        <v>4</v>
      </c>
      <c r="Y84">
        <v>3</v>
      </c>
      <c r="Z84">
        <v>435</v>
      </c>
      <c r="AA84">
        <v>278.68339014053345</v>
      </c>
      <c r="AB84">
        <v>277.61642300000312</v>
      </c>
      <c r="AC84">
        <v>125.00000000031589</v>
      </c>
      <c r="AD84">
        <v>1</v>
      </c>
      <c r="AE84">
        <v>5</v>
      </c>
      <c r="AF84">
        <v>3</v>
      </c>
      <c r="AG84">
        <v>95</v>
      </c>
      <c r="AH84">
        <v>77.039902925491333</v>
      </c>
      <c r="AI84">
        <v>76.929245999999694</v>
      </c>
      <c r="AJ84">
        <v>125.00000000034798</v>
      </c>
      <c r="AK84">
        <v>2</v>
      </c>
      <c r="AL84">
        <v>2</v>
      </c>
      <c r="AM84">
        <v>3</v>
      </c>
      <c r="AN84">
        <v>1651</v>
      </c>
      <c r="AO84">
        <v>728.95505809783936</v>
      </c>
      <c r="AP84">
        <v>725.81040199999916</v>
      </c>
      <c r="AQ84">
        <v>125.00000000020653</v>
      </c>
      <c r="AR84">
        <v>125.00000000034223</v>
      </c>
      <c r="AS84">
        <v>2</v>
      </c>
      <c r="AT84">
        <v>3</v>
      </c>
      <c r="AU84">
        <v>3</v>
      </c>
      <c r="AV84">
        <v>431</v>
      </c>
      <c r="AW84">
        <v>275.53775310516357</v>
      </c>
      <c r="AX84">
        <v>274.35307300000204</v>
      </c>
      <c r="AY84">
        <v>125.00000000032514</v>
      </c>
      <c r="AZ84">
        <v>125.00000000025398</v>
      </c>
      <c r="BA84">
        <v>2</v>
      </c>
      <c r="BB84">
        <v>4</v>
      </c>
      <c r="BC84">
        <v>3</v>
      </c>
      <c r="BD84">
        <v>1004</v>
      </c>
      <c r="BE84">
        <v>870.29766702651978</v>
      </c>
      <c r="BF84">
        <v>866.74155799999789</v>
      </c>
      <c r="BG84">
        <v>125.0000000004775</v>
      </c>
      <c r="BH84">
        <v>125.00000000023613</v>
      </c>
      <c r="BI84">
        <v>2</v>
      </c>
      <c r="BJ84">
        <v>5</v>
      </c>
      <c r="BK84">
        <v>3</v>
      </c>
      <c r="BL84">
        <v>3675</v>
      </c>
      <c r="BM84">
        <v>4043.5053720474243</v>
      </c>
      <c r="BN84">
        <v>4026.8952810000046</v>
      </c>
      <c r="BO84">
        <v>125.00000000066289</v>
      </c>
      <c r="BP84">
        <v>125.00000000023647</v>
      </c>
      <c r="BQ84">
        <v>3</v>
      </c>
      <c r="BR84">
        <v>3</v>
      </c>
      <c r="BS84">
        <v>3</v>
      </c>
      <c r="BT84">
        <v>717</v>
      </c>
      <c r="BU84">
        <v>569.59887409210205</v>
      </c>
      <c r="BV84">
        <v>567.56629799999791</v>
      </c>
      <c r="BW84">
        <v>125.00000000021545</v>
      </c>
      <c r="BX84">
        <v>125.00000000026571</v>
      </c>
      <c r="BY84">
        <v>125.00000000045804</v>
      </c>
      <c r="BZ84">
        <v>3</v>
      </c>
      <c r="CA84">
        <v>4</v>
      </c>
      <c r="CB84">
        <v>3</v>
      </c>
      <c r="CC84">
        <v>3402</v>
      </c>
      <c r="CD84">
        <v>3118.8918220996857</v>
      </c>
      <c r="CE84">
        <v>3107.8900590000012</v>
      </c>
      <c r="CF84">
        <v>125.00000000031676</v>
      </c>
      <c r="CG84">
        <v>125.00000000034663</v>
      </c>
      <c r="CH84">
        <v>125.00000000028557</v>
      </c>
      <c r="CI84">
        <v>3</v>
      </c>
      <c r="CJ84">
        <v>5</v>
      </c>
      <c r="CK84">
        <v>3</v>
      </c>
      <c r="CL84">
        <v>2341</v>
      </c>
      <c r="CM84">
        <v>2693.2162520885468</v>
      </c>
      <c r="CN84">
        <v>2683.7104050000016</v>
      </c>
      <c r="CO84">
        <v>125.00000000044012</v>
      </c>
      <c r="CP84">
        <v>125.0000000004523</v>
      </c>
      <c r="CQ84">
        <v>125.00000000023982</v>
      </c>
    </row>
    <row r="85" spans="1:95" s="8" customFormat="1" x14ac:dyDescent="0.35">
      <c r="A85">
        <v>1084</v>
      </c>
      <c r="B85">
        <v>1</v>
      </c>
      <c r="C85">
        <v>1</v>
      </c>
      <c r="D85">
        <v>3</v>
      </c>
      <c r="E85">
        <v>54</v>
      </c>
      <c r="F85">
        <v>7.4879810810089111</v>
      </c>
      <c r="G85">
        <v>7.50475699999879</v>
      </c>
      <c r="H85">
        <v>125.00000000015912</v>
      </c>
      <c r="I85">
        <v>1</v>
      </c>
      <c r="J85">
        <v>2</v>
      </c>
      <c r="K85">
        <v>3</v>
      </c>
      <c r="L85">
        <v>5729</v>
      </c>
      <c r="M85">
        <v>1558.6223108768463</v>
      </c>
      <c r="N85">
        <v>1552.8112169999986</v>
      </c>
      <c r="O85">
        <v>125.00000000011079</v>
      </c>
      <c r="P85">
        <v>1</v>
      </c>
      <c r="Q85">
        <v>3</v>
      </c>
      <c r="R85">
        <v>3</v>
      </c>
      <c r="S85">
        <v>146</v>
      </c>
      <c r="T85">
        <v>59.56423807144165</v>
      </c>
      <c r="U85">
        <v>59.470940999999584</v>
      </c>
      <c r="V85">
        <v>125.00000000011947</v>
      </c>
      <c r="W85">
        <v>1</v>
      </c>
      <c r="X85">
        <v>4</v>
      </c>
      <c r="Y85">
        <v>7</v>
      </c>
      <c r="Z85">
        <v>9030</v>
      </c>
      <c r="AA85">
        <v>4944.1651499271393</v>
      </c>
      <c r="AB85">
        <v>4925.9897670000064</v>
      </c>
      <c r="AC85">
        <v>130.09679885904444</v>
      </c>
      <c r="AD85">
        <v>1</v>
      </c>
      <c r="AE85">
        <v>5</v>
      </c>
      <c r="AF85">
        <v>4</v>
      </c>
      <c r="AG85">
        <v>1400</v>
      </c>
      <c r="AH85">
        <v>957.7354040145874</v>
      </c>
      <c r="AI85">
        <v>954.49278700000286</v>
      </c>
      <c r="AJ85">
        <v>130.01871430644815</v>
      </c>
      <c r="AK85">
        <v>2</v>
      </c>
      <c r="AL85">
        <v>2</v>
      </c>
      <c r="AM85">
        <v>3</v>
      </c>
      <c r="AN85">
        <v>212</v>
      </c>
      <c r="AO85">
        <v>77.152265071868896</v>
      </c>
      <c r="AP85">
        <v>76.946667999996862</v>
      </c>
      <c r="AQ85">
        <v>125.0000000000892</v>
      </c>
      <c r="AR85">
        <v>125.0000000001468</v>
      </c>
      <c r="AS85">
        <v>2</v>
      </c>
      <c r="AT85">
        <v>3</v>
      </c>
      <c r="AU85">
        <v>3</v>
      </c>
      <c r="AV85">
        <v>350</v>
      </c>
      <c r="AW85">
        <v>190.96606922149658</v>
      </c>
      <c r="AX85">
        <v>190.3731359999947</v>
      </c>
      <c r="AY85">
        <v>125.00000000015436</v>
      </c>
      <c r="AZ85">
        <v>125.00000000012059</v>
      </c>
      <c r="BA85">
        <v>2</v>
      </c>
      <c r="BB85">
        <v>4</v>
      </c>
      <c r="BC85">
        <v>3</v>
      </c>
      <c r="BD85">
        <v>1168</v>
      </c>
      <c r="BE85">
        <v>853.4070508480072</v>
      </c>
      <c r="BF85">
        <v>850.4278639999975</v>
      </c>
      <c r="BG85">
        <v>125.00000000010789</v>
      </c>
      <c r="BH85">
        <v>125.00000000005305</v>
      </c>
      <c r="BI85">
        <v>2</v>
      </c>
      <c r="BJ85">
        <v>5</v>
      </c>
      <c r="BK85">
        <v>5</v>
      </c>
      <c r="BL85">
        <v>3901</v>
      </c>
      <c r="BM85">
        <v>3580.5812418460846</v>
      </c>
      <c r="BN85">
        <v>3567.5536320000028</v>
      </c>
      <c r="BO85">
        <v>130.21416927526249</v>
      </c>
      <c r="BP85">
        <v>130.001126707829</v>
      </c>
      <c r="BQ85">
        <v>3</v>
      </c>
      <c r="BR85">
        <v>3</v>
      </c>
      <c r="BS85">
        <v>3</v>
      </c>
      <c r="BT85">
        <v>1937</v>
      </c>
      <c r="BU85">
        <v>1330.4433019161224</v>
      </c>
      <c r="BV85">
        <v>1325.640081000005</v>
      </c>
      <c r="BW85">
        <v>125.00000000010446</v>
      </c>
      <c r="BX85">
        <v>125.00000000012857</v>
      </c>
      <c r="BY85">
        <v>125.00000000022354</v>
      </c>
      <c r="BZ85">
        <v>3</v>
      </c>
      <c r="CA85">
        <v>4</v>
      </c>
      <c r="CB85">
        <v>3</v>
      </c>
      <c r="CC85">
        <v>2595</v>
      </c>
      <c r="CD85">
        <v>2382.0400080680847</v>
      </c>
      <c r="CE85">
        <v>2373.5774089999977</v>
      </c>
      <c r="CF85">
        <v>125.00000000010768</v>
      </c>
      <c r="CG85">
        <v>125.00000000011724</v>
      </c>
      <c r="CH85">
        <v>125.00000000009655</v>
      </c>
      <c r="CI85">
        <v>3</v>
      </c>
      <c r="CJ85">
        <v>5</v>
      </c>
      <c r="CK85">
        <v>3</v>
      </c>
      <c r="CL85">
        <v>990</v>
      </c>
      <c r="CM85">
        <v>1132.8959429264069</v>
      </c>
      <c r="CN85">
        <v>1128.8912060000002</v>
      </c>
      <c r="CO85">
        <v>134.99999999913126</v>
      </c>
      <c r="CP85">
        <v>125.00000000052012</v>
      </c>
      <c r="CQ85">
        <v>125.00000000014134</v>
      </c>
    </row>
    <row r="86" spans="1:95" s="8" customFormat="1" x14ac:dyDescent="0.35">
      <c r="A86">
        <v>1085</v>
      </c>
      <c r="B86">
        <v>1</v>
      </c>
      <c r="C86">
        <v>1</v>
      </c>
      <c r="D86">
        <v>3</v>
      </c>
      <c r="E86">
        <v>246</v>
      </c>
      <c r="F86">
        <v>34.318197011947632</v>
      </c>
      <c r="G86">
        <v>34.231661999998323</v>
      </c>
      <c r="H86">
        <v>125.00000000007456</v>
      </c>
      <c r="I86">
        <v>1</v>
      </c>
      <c r="J86">
        <v>2</v>
      </c>
      <c r="K86">
        <v>3</v>
      </c>
      <c r="L86">
        <v>577</v>
      </c>
      <c r="M86">
        <v>159.68028497695923</v>
      </c>
      <c r="N86">
        <v>159.11746899999707</v>
      </c>
      <c r="O86">
        <v>125.0000000000838</v>
      </c>
      <c r="P86">
        <v>1</v>
      </c>
      <c r="Q86">
        <v>3</v>
      </c>
      <c r="R86">
        <v>2</v>
      </c>
      <c r="S86">
        <v>455</v>
      </c>
      <c r="T86">
        <v>188.00943279266357</v>
      </c>
      <c r="U86">
        <v>187.51011500000459</v>
      </c>
      <c r="V86">
        <v>125.00146364448</v>
      </c>
      <c r="W86">
        <v>1</v>
      </c>
      <c r="X86">
        <v>4</v>
      </c>
      <c r="Y86">
        <v>2</v>
      </c>
      <c r="Z86">
        <v>637</v>
      </c>
      <c r="AA86">
        <v>350.17264604568481</v>
      </c>
      <c r="AB86">
        <v>349.16765099999611</v>
      </c>
      <c r="AC86">
        <v>125.00208120496332</v>
      </c>
      <c r="AD86">
        <v>1</v>
      </c>
      <c r="AE86">
        <v>5</v>
      </c>
      <c r="AF86">
        <v>2</v>
      </c>
      <c r="AG86">
        <v>508</v>
      </c>
      <c r="AH86">
        <v>349.74930095672607</v>
      </c>
      <c r="AI86">
        <v>348.63389299999835</v>
      </c>
      <c r="AJ86">
        <v>125.00208120496339</v>
      </c>
      <c r="AK86">
        <v>2</v>
      </c>
      <c r="AL86">
        <v>2</v>
      </c>
      <c r="AM86">
        <v>3</v>
      </c>
      <c r="AN86">
        <v>207</v>
      </c>
      <c r="AO86">
        <v>76.399199962615967</v>
      </c>
      <c r="AP86">
        <v>76.19622900000104</v>
      </c>
      <c r="AQ86">
        <v>125.00000000005852</v>
      </c>
      <c r="AR86">
        <v>125.00000000014754</v>
      </c>
      <c r="AS86">
        <v>2</v>
      </c>
      <c r="AT86">
        <v>3</v>
      </c>
      <c r="AU86">
        <v>3</v>
      </c>
      <c r="AV86">
        <v>562</v>
      </c>
      <c r="AW86">
        <v>309.04585599899292</v>
      </c>
      <c r="AX86">
        <v>308.0330959999992</v>
      </c>
      <c r="AY86">
        <v>125.00000000009278</v>
      </c>
      <c r="AZ86">
        <v>125.00000000012889</v>
      </c>
      <c r="BA86">
        <v>2</v>
      </c>
      <c r="BB86">
        <v>4</v>
      </c>
      <c r="BC86">
        <v>2</v>
      </c>
      <c r="BD86">
        <v>391</v>
      </c>
      <c r="BE86">
        <v>287.65811920166016</v>
      </c>
      <c r="BF86">
        <v>286.75638600000093</v>
      </c>
      <c r="BG86">
        <v>127.29794238845531</v>
      </c>
      <c r="BH86">
        <v>125.03740690632138</v>
      </c>
      <c r="BI86">
        <v>2</v>
      </c>
      <c r="BJ86">
        <v>5</v>
      </c>
      <c r="BK86">
        <v>2</v>
      </c>
      <c r="BL86">
        <v>470</v>
      </c>
      <c r="BM86">
        <v>432.15662407875061</v>
      </c>
      <c r="BN86">
        <v>430.72434200000134</v>
      </c>
      <c r="BO86">
        <v>128.3170131532612</v>
      </c>
      <c r="BP86">
        <v>125.00014073424214</v>
      </c>
      <c r="BQ86">
        <v>3</v>
      </c>
      <c r="BR86">
        <v>3</v>
      </c>
      <c r="BS86">
        <v>2</v>
      </c>
      <c r="BT86">
        <v>440</v>
      </c>
      <c r="BU86">
        <v>303.40191698074341</v>
      </c>
      <c r="BV86">
        <v>302.34657499999594</v>
      </c>
      <c r="BW86">
        <v>125.00001802131968</v>
      </c>
      <c r="BX86">
        <v>125.00010025047263</v>
      </c>
      <c r="BY86">
        <v>125.00150074410971</v>
      </c>
      <c r="BZ86">
        <v>3</v>
      </c>
      <c r="CA86">
        <v>4</v>
      </c>
      <c r="CB86">
        <v>2</v>
      </c>
      <c r="CC86">
        <v>413</v>
      </c>
      <c r="CD86">
        <v>379.51066493988037</v>
      </c>
      <c r="CE86">
        <v>378.22339700000157</v>
      </c>
      <c r="CF86">
        <v>125.02273757415377</v>
      </c>
      <c r="CG86">
        <v>125.65888831503085</v>
      </c>
      <c r="CH86">
        <v>125.17679348351719</v>
      </c>
      <c r="CI86">
        <v>3</v>
      </c>
      <c r="CJ86">
        <v>5</v>
      </c>
      <c r="CK86">
        <v>2</v>
      </c>
      <c r="CL86">
        <v>892</v>
      </c>
      <c r="CM86">
        <v>1023.2652139663696</v>
      </c>
      <c r="CN86">
        <v>1019.5059309999997</v>
      </c>
      <c r="CO86">
        <v>125.41194397465205</v>
      </c>
      <c r="CP86">
        <v>125.02948444799044</v>
      </c>
      <c r="CQ86">
        <v>125.00024247358813</v>
      </c>
    </row>
    <row r="87" spans="1:95" s="8" customFormat="1" x14ac:dyDescent="0.35">
      <c r="A87">
        <v>1086</v>
      </c>
      <c r="B87">
        <v>1</v>
      </c>
      <c r="C87">
        <v>1</v>
      </c>
      <c r="D87">
        <v>3</v>
      </c>
      <c r="E87">
        <v>3544</v>
      </c>
      <c r="F87">
        <v>490.05538606643677</v>
      </c>
      <c r="G87">
        <v>488.26379199999792</v>
      </c>
      <c r="H87">
        <v>125.00000000021221</v>
      </c>
      <c r="I87">
        <v>1</v>
      </c>
      <c r="J87">
        <v>2</v>
      </c>
      <c r="K87">
        <v>3</v>
      </c>
      <c r="L87">
        <v>243</v>
      </c>
      <c r="M87">
        <v>66.664684057235718</v>
      </c>
      <c r="N87">
        <v>66.494090999993205</v>
      </c>
      <c r="O87">
        <v>125.00000000018278</v>
      </c>
      <c r="P87">
        <v>1</v>
      </c>
      <c r="Q87">
        <v>3</v>
      </c>
      <c r="R87">
        <v>3</v>
      </c>
      <c r="S87">
        <v>71</v>
      </c>
      <c r="T87">
        <v>29.26661205291748</v>
      </c>
      <c r="U87">
        <v>29.292309000004025</v>
      </c>
      <c r="V87">
        <v>125.00000000030127</v>
      </c>
      <c r="W87">
        <v>1</v>
      </c>
      <c r="X87">
        <v>4</v>
      </c>
      <c r="Y87">
        <v>2</v>
      </c>
      <c r="Z87">
        <v>553</v>
      </c>
      <c r="AA87">
        <v>304.32360291481018</v>
      </c>
      <c r="AB87">
        <v>303.4101509999964</v>
      </c>
      <c r="AC87">
        <v>125.00116901977111</v>
      </c>
      <c r="AD87">
        <v>1</v>
      </c>
      <c r="AE87">
        <v>5</v>
      </c>
      <c r="AF87">
        <v>2</v>
      </c>
      <c r="AG87">
        <v>311</v>
      </c>
      <c r="AH87">
        <v>213.0192449092865</v>
      </c>
      <c r="AI87">
        <v>212.48317099999986</v>
      </c>
      <c r="AJ87">
        <v>125.00117255633883</v>
      </c>
      <c r="AK87">
        <v>2</v>
      </c>
      <c r="AL87">
        <v>2</v>
      </c>
      <c r="AM87">
        <v>3</v>
      </c>
      <c r="AN87">
        <v>594</v>
      </c>
      <c r="AO87">
        <v>217.52409482002258</v>
      </c>
      <c r="AP87">
        <v>216.79430600000342</v>
      </c>
      <c r="AQ87">
        <v>125.00000000018176</v>
      </c>
      <c r="AR87">
        <v>125.00000000018375</v>
      </c>
      <c r="AS87">
        <v>2</v>
      </c>
      <c r="AT87">
        <v>3</v>
      </c>
      <c r="AU87">
        <v>3</v>
      </c>
      <c r="AV87">
        <v>516</v>
      </c>
      <c r="AW87">
        <v>283.70096683502197</v>
      </c>
      <c r="AX87">
        <v>282.74339200000395</v>
      </c>
      <c r="AY87">
        <v>125.00000000039982</v>
      </c>
      <c r="AZ87">
        <v>125.00000000023809</v>
      </c>
      <c r="BA87">
        <v>2</v>
      </c>
      <c r="BB87">
        <v>4</v>
      </c>
      <c r="BC87">
        <v>2</v>
      </c>
      <c r="BD87">
        <v>589</v>
      </c>
      <c r="BE87">
        <v>431.18612599372864</v>
      </c>
      <c r="BF87">
        <v>429.71123700000317</v>
      </c>
      <c r="BG87">
        <v>132.29645465840366</v>
      </c>
      <c r="BH87">
        <v>125.00042548877353</v>
      </c>
      <c r="BI87">
        <v>2</v>
      </c>
      <c r="BJ87">
        <v>5</v>
      </c>
      <c r="BK87">
        <v>2</v>
      </c>
      <c r="BL87">
        <v>403</v>
      </c>
      <c r="BM87">
        <v>368.70761704444885</v>
      </c>
      <c r="BN87">
        <v>367.54319599999872</v>
      </c>
      <c r="BO87">
        <v>132.13663229976794</v>
      </c>
      <c r="BP87">
        <v>125.00592355837973</v>
      </c>
      <c r="BQ87">
        <v>3</v>
      </c>
      <c r="BR87">
        <v>3</v>
      </c>
      <c r="BS87">
        <v>2</v>
      </c>
      <c r="BT87">
        <v>1074</v>
      </c>
      <c r="BU87">
        <v>738.52179789543152</v>
      </c>
      <c r="BV87">
        <v>735.8248190000013</v>
      </c>
      <c r="BW87">
        <v>125.00030670913127</v>
      </c>
      <c r="BX87">
        <v>125.00049595706334</v>
      </c>
      <c r="BY87">
        <v>125.00122497361593</v>
      </c>
      <c r="BZ87">
        <v>3</v>
      </c>
      <c r="CA87">
        <v>4</v>
      </c>
      <c r="CB87">
        <v>2</v>
      </c>
      <c r="CC87">
        <v>567</v>
      </c>
      <c r="CD87">
        <v>518.90836501121521</v>
      </c>
      <c r="CE87">
        <v>517.09036499999638</v>
      </c>
      <c r="CF87">
        <v>125.00109973563748</v>
      </c>
      <c r="CG87">
        <v>125.07790458458555</v>
      </c>
      <c r="CH87">
        <v>125.00477218708809</v>
      </c>
      <c r="CI87">
        <v>3</v>
      </c>
      <c r="CJ87">
        <v>5</v>
      </c>
      <c r="CK87">
        <v>2</v>
      </c>
      <c r="CL87">
        <v>394</v>
      </c>
      <c r="CM87">
        <v>451.02829599380493</v>
      </c>
      <c r="CN87">
        <v>449.51513000000705</v>
      </c>
      <c r="CO87">
        <v>133.1475495157519</v>
      </c>
      <c r="CP87">
        <v>125.00041462830504</v>
      </c>
      <c r="CQ87">
        <v>125.00304120862936</v>
      </c>
    </row>
    <row r="88" spans="1:95" s="8" customFormat="1" x14ac:dyDescent="0.35">
      <c r="A88">
        <v>1087</v>
      </c>
      <c r="B88">
        <v>1</v>
      </c>
      <c r="C88">
        <v>1</v>
      </c>
      <c r="D88">
        <v>3</v>
      </c>
      <c r="E88">
        <v>267</v>
      </c>
      <c r="F88">
        <v>37.177178144454956</v>
      </c>
      <c r="G88">
        <v>37.079245000008086</v>
      </c>
      <c r="H88">
        <v>125.00000000007712</v>
      </c>
      <c r="I88">
        <v>1</v>
      </c>
      <c r="J88">
        <v>2</v>
      </c>
      <c r="K88">
        <v>3</v>
      </c>
      <c r="L88">
        <v>241</v>
      </c>
      <c r="M88">
        <v>66.579533815383911</v>
      </c>
      <c r="N88">
        <v>66.413899999999558</v>
      </c>
      <c r="O88">
        <v>125.00000000007819</v>
      </c>
      <c r="P88">
        <v>1</v>
      </c>
      <c r="Q88">
        <v>3</v>
      </c>
      <c r="R88">
        <v>3</v>
      </c>
      <c r="S88">
        <v>6787</v>
      </c>
      <c r="T88">
        <v>2817.4726071357727</v>
      </c>
      <c r="U88">
        <v>2806.9191439999995</v>
      </c>
      <c r="V88">
        <v>125.00000000006061</v>
      </c>
      <c r="W88">
        <v>1</v>
      </c>
      <c r="X88">
        <v>4</v>
      </c>
      <c r="Y88">
        <v>2</v>
      </c>
      <c r="Z88">
        <v>396</v>
      </c>
      <c r="AA88">
        <v>218.1567850112915</v>
      </c>
      <c r="AB88">
        <v>217.57738699999754</v>
      </c>
      <c r="AC88">
        <v>129.93232010024218</v>
      </c>
      <c r="AD88">
        <v>1</v>
      </c>
      <c r="AE88">
        <v>5</v>
      </c>
      <c r="AF88">
        <v>3</v>
      </c>
      <c r="AG88">
        <v>126</v>
      </c>
      <c r="AH88">
        <v>86.366846084594727</v>
      </c>
      <c r="AI88">
        <v>86.260181000005105</v>
      </c>
      <c r="AJ88">
        <v>125.00000000005865</v>
      </c>
      <c r="AK88">
        <v>2</v>
      </c>
      <c r="AL88">
        <v>2</v>
      </c>
      <c r="AM88">
        <v>3</v>
      </c>
      <c r="AN88">
        <v>306</v>
      </c>
      <c r="AO88">
        <v>112.04389905929565</v>
      </c>
      <c r="AP88">
        <v>111.79601800000091</v>
      </c>
      <c r="AQ88">
        <v>125.00000000006287</v>
      </c>
      <c r="AR88">
        <v>125.00000000010357</v>
      </c>
      <c r="AS88">
        <v>2</v>
      </c>
      <c r="AT88">
        <v>3</v>
      </c>
      <c r="AU88">
        <v>3</v>
      </c>
      <c r="AV88">
        <v>1177</v>
      </c>
      <c r="AW88">
        <v>647.24654316902161</v>
      </c>
      <c r="AX88">
        <v>644.94259800000145</v>
      </c>
      <c r="AY88">
        <v>125.00000000006976</v>
      </c>
      <c r="AZ88">
        <v>125.00000000005362</v>
      </c>
      <c r="BA88">
        <v>2</v>
      </c>
      <c r="BB88">
        <v>4</v>
      </c>
      <c r="BC88">
        <v>3</v>
      </c>
      <c r="BD88">
        <v>215</v>
      </c>
      <c r="BE88">
        <v>157.73307204246521</v>
      </c>
      <c r="BF88">
        <v>157.18320200000016</v>
      </c>
      <c r="BG88">
        <v>125.00000000009032</v>
      </c>
      <c r="BH88">
        <v>125.0000000000435</v>
      </c>
      <c r="BI88">
        <v>2</v>
      </c>
      <c r="BJ88">
        <v>5</v>
      </c>
      <c r="BK88">
        <v>3</v>
      </c>
      <c r="BL88">
        <v>272</v>
      </c>
      <c r="BM88">
        <v>248.9054811000824</v>
      </c>
      <c r="BN88">
        <v>248.35660500000813</v>
      </c>
      <c r="BO88">
        <v>125.00000000010593</v>
      </c>
      <c r="BP88">
        <v>125.00000000003631</v>
      </c>
      <c r="BQ88">
        <v>3</v>
      </c>
      <c r="BR88">
        <v>3</v>
      </c>
      <c r="BS88">
        <v>3</v>
      </c>
      <c r="BT88">
        <v>1178</v>
      </c>
      <c r="BU88">
        <v>809.70943999290466</v>
      </c>
      <c r="BV88">
        <v>806.93500899999344</v>
      </c>
      <c r="BW88">
        <v>134.99999999986977</v>
      </c>
      <c r="BX88">
        <v>125.0000000001304</v>
      </c>
      <c r="BY88">
        <v>125.00000000012675</v>
      </c>
      <c r="BZ88">
        <v>3</v>
      </c>
      <c r="CA88">
        <v>4</v>
      </c>
      <c r="CB88">
        <v>3</v>
      </c>
      <c r="CC88">
        <v>1297</v>
      </c>
      <c r="CD88">
        <v>1186.1855471134186</v>
      </c>
      <c r="CE88">
        <v>1181.7935339999967</v>
      </c>
      <c r="CF88">
        <v>125.00000000006099</v>
      </c>
      <c r="CG88">
        <v>125.00000000006561</v>
      </c>
      <c r="CH88">
        <v>125.00000000005325</v>
      </c>
      <c r="CI88">
        <v>3</v>
      </c>
      <c r="CJ88">
        <v>5</v>
      </c>
      <c r="CK88">
        <v>3</v>
      </c>
      <c r="CL88">
        <v>529</v>
      </c>
      <c r="CM88">
        <v>604.82995700836182</v>
      </c>
      <c r="CN88">
        <v>602.8030570000119</v>
      </c>
      <c r="CO88">
        <v>125.00000000007201</v>
      </c>
      <c r="CP88">
        <v>125.00000000007243</v>
      </c>
      <c r="CQ88">
        <v>125.00000000003747</v>
      </c>
    </row>
    <row r="89" spans="1:95" s="8" customFormat="1" x14ac:dyDescent="0.35">
      <c r="A89">
        <v>1088</v>
      </c>
      <c r="B89">
        <v>1</v>
      </c>
      <c r="C89">
        <v>1</v>
      </c>
      <c r="D89">
        <v>3</v>
      </c>
      <c r="E89">
        <v>267</v>
      </c>
      <c r="F89">
        <v>38.056344985961914</v>
      </c>
      <c r="G89">
        <v>37.954907000006642</v>
      </c>
      <c r="H89">
        <v>125.00000000006705</v>
      </c>
      <c r="I89">
        <v>1</v>
      </c>
      <c r="J89">
        <v>2</v>
      </c>
      <c r="K89">
        <v>3</v>
      </c>
      <c r="L89">
        <v>3509</v>
      </c>
      <c r="M89">
        <v>979.8721170425415</v>
      </c>
      <c r="N89">
        <v>976.16003099999216</v>
      </c>
      <c r="O89">
        <v>125.00000000007144</v>
      </c>
      <c r="P89">
        <v>1</v>
      </c>
      <c r="Q89">
        <v>3</v>
      </c>
      <c r="R89">
        <v>2</v>
      </c>
      <c r="S89">
        <v>387</v>
      </c>
      <c r="T89">
        <v>160.92378616333008</v>
      </c>
      <c r="U89">
        <v>160.43605299999763</v>
      </c>
      <c r="V89">
        <v>125.00285890966992</v>
      </c>
      <c r="W89">
        <v>1</v>
      </c>
      <c r="X89">
        <v>4</v>
      </c>
      <c r="Y89">
        <v>2</v>
      </c>
      <c r="Z89">
        <v>394</v>
      </c>
      <c r="AA89">
        <v>218.02275204658508</v>
      </c>
      <c r="AB89">
        <v>217.45855100000335</v>
      </c>
      <c r="AC89">
        <v>125.00285890966973</v>
      </c>
      <c r="AD89">
        <v>1</v>
      </c>
      <c r="AE89">
        <v>5</v>
      </c>
      <c r="AF89">
        <v>2</v>
      </c>
      <c r="AG89">
        <v>373</v>
      </c>
      <c r="AH89">
        <v>257.22262001037598</v>
      </c>
      <c r="AI89">
        <v>256.55046599998605</v>
      </c>
      <c r="AJ89">
        <v>125.00285890966973</v>
      </c>
      <c r="AK89">
        <v>2</v>
      </c>
      <c r="AL89">
        <v>2</v>
      </c>
      <c r="AM89">
        <v>3</v>
      </c>
      <c r="AN89">
        <v>306</v>
      </c>
      <c r="AO89">
        <v>113.2489800453186</v>
      </c>
      <c r="AP89">
        <v>112.90465900000709</v>
      </c>
      <c r="AQ89">
        <v>125.00000000005871</v>
      </c>
      <c r="AR89">
        <v>125.00000000009121</v>
      </c>
      <c r="AS89">
        <v>2</v>
      </c>
      <c r="AT89">
        <v>3</v>
      </c>
      <c r="AU89">
        <v>3</v>
      </c>
      <c r="AV89">
        <v>129</v>
      </c>
      <c r="AW89">
        <v>71.675092935562134</v>
      </c>
      <c r="AX89">
        <v>71.531768000000739</v>
      </c>
      <c r="AY89">
        <v>125.00000000010405</v>
      </c>
      <c r="AZ89">
        <v>125.00000000012517</v>
      </c>
      <c r="BA89">
        <v>2</v>
      </c>
      <c r="BB89">
        <v>4</v>
      </c>
      <c r="BC89">
        <v>2</v>
      </c>
      <c r="BD89">
        <v>386</v>
      </c>
      <c r="BE89">
        <v>286.0351870059967</v>
      </c>
      <c r="BF89">
        <v>285.10128200000327</v>
      </c>
      <c r="BG89">
        <v>127.8298492049615</v>
      </c>
      <c r="BH89">
        <v>125.03010580125816</v>
      </c>
      <c r="BI89">
        <v>2</v>
      </c>
      <c r="BJ89">
        <v>5</v>
      </c>
      <c r="BK89">
        <v>2</v>
      </c>
      <c r="BL89">
        <v>620</v>
      </c>
      <c r="BM89">
        <v>571.65831708908081</v>
      </c>
      <c r="BN89">
        <v>570.24790400000347</v>
      </c>
      <c r="BO89">
        <v>128.47727919927632</v>
      </c>
      <c r="BP89">
        <v>125.00707987645433</v>
      </c>
      <c r="BQ89">
        <v>3</v>
      </c>
      <c r="BR89">
        <v>3</v>
      </c>
      <c r="BS89">
        <v>2</v>
      </c>
      <c r="BT89">
        <v>1376</v>
      </c>
      <c r="BU89">
        <v>956.50132608413696</v>
      </c>
      <c r="BV89">
        <v>953.10852599999635</v>
      </c>
      <c r="BW89">
        <v>125.00010341482825</v>
      </c>
      <c r="BX89">
        <v>125.53167090217117</v>
      </c>
      <c r="BY89">
        <v>125.00004385235727</v>
      </c>
      <c r="BZ89">
        <v>3</v>
      </c>
      <c r="CA89">
        <v>4</v>
      </c>
      <c r="CB89">
        <v>2</v>
      </c>
      <c r="CC89">
        <v>452</v>
      </c>
      <c r="CD89">
        <v>419.15490317344666</v>
      </c>
      <c r="CE89">
        <v>418.05636699998286</v>
      </c>
      <c r="CF89">
        <v>126.02749895819288</v>
      </c>
      <c r="CG89">
        <v>125.00009602720431</v>
      </c>
      <c r="CH89">
        <v>125.0062827617116</v>
      </c>
      <c r="CI89">
        <v>3</v>
      </c>
      <c r="CJ89">
        <v>5</v>
      </c>
      <c r="CK89">
        <v>2</v>
      </c>
      <c r="CL89">
        <v>562</v>
      </c>
      <c r="CM89">
        <v>650.75733590126038</v>
      </c>
      <c r="CN89">
        <v>648.621249000018</v>
      </c>
      <c r="CO89">
        <v>125.71138747223992</v>
      </c>
      <c r="CP89">
        <v>125.00440306150584</v>
      </c>
      <c r="CQ89">
        <v>125.06511414185056</v>
      </c>
    </row>
    <row r="90" spans="1:95" s="8" customFormat="1" x14ac:dyDescent="0.35">
      <c r="A90">
        <v>1089</v>
      </c>
      <c r="B90">
        <v>1</v>
      </c>
      <c r="C90">
        <v>1</v>
      </c>
      <c r="D90">
        <v>3</v>
      </c>
      <c r="E90">
        <v>239</v>
      </c>
      <c r="F90">
        <v>33.132498025894165</v>
      </c>
      <c r="G90">
        <v>33.077103000003262</v>
      </c>
      <c r="H90">
        <v>125.00000000005147</v>
      </c>
      <c r="I90">
        <v>1</v>
      </c>
      <c r="J90">
        <v>2</v>
      </c>
      <c r="K90">
        <v>2</v>
      </c>
      <c r="L90">
        <v>355</v>
      </c>
      <c r="M90">
        <v>98.473381996154785</v>
      </c>
      <c r="N90">
        <v>98.216931999995722</v>
      </c>
      <c r="O90">
        <v>125.00247640888389</v>
      </c>
      <c r="P90">
        <v>1</v>
      </c>
      <c r="Q90">
        <v>3</v>
      </c>
      <c r="R90">
        <v>3</v>
      </c>
      <c r="S90">
        <v>3237</v>
      </c>
      <c r="T90">
        <v>1343.2211458683014</v>
      </c>
      <c r="U90">
        <v>1338.2250510000013</v>
      </c>
      <c r="V90">
        <v>125.00000000007749</v>
      </c>
      <c r="W90">
        <v>1</v>
      </c>
      <c r="X90">
        <v>4</v>
      </c>
      <c r="Y90">
        <v>2</v>
      </c>
      <c r="Z90">
        <v>742</v>
      </c>
      <c r="AA90">
        <v>410.63220691680908</v>
      </c>
      <c r="AB90">
        <v>409.22940000001108</v>
      </c>
      <c r="AC90">
        <v>125.00619532084228</v>
      </c>
      <c r="AD90">
        <v>1</v>
      </c>
      <c r="AE90">
        <v>5</v>
      </c>
      <c r="AF90">
        <v>3</v>
      </c>
      <c r="AG90">
        <v>727</v>
      </c>
      <c r="AH90">
        <v>502.9176299571991</v>
      </c>
      <c r="AI90">
        <v>501.21348999999464</v>
      </c>
      <c r="AJ90">
        <v>125.00000000013266</v>
      </c>
      <c r="AK90">
        <v>2</v>
      </c>
      <c r="AL90">
        <v>2</v>
      </c>
      <c r="AM90">
        <v>2</v>
      </c>
      <c r="AN90">
        <v>349</v>
      </c>
      <c r="AO90">
        <v>129.08295798301697</v>
      </c>
      <c r="AP90">
        <v>128.67662099999143</v>
      </c>
      <c r="AQ90">
        <v>125.00247640888389</v>
      </c>
      <c r="AR90">
        <v>127.58990515444496</v>
      </c>
      <c r="AS90">
        <v>2</v>
      </c>
      <c r="AT90">
        <v>3</v>
      </c>
      <c r="AU90">
        <v>2</v>
      </c>
      <c r="AV90">
        <v>353</v>
      </c>
      <c r="AW90">
        <v>195.85571718215942</v>
      </c>
      <c r="AX90">
        <v>195.18323300000338</v>
      </c>
      <c r="AY90">
        <v>125.2016905376543</v>
      </c>
      <c r="AZ90">
        <v>125.00008422012147</v>
      </c>
      <c r="BA90">
        <v>2</v>
      </c>
      <c r="BB90">
        <v>4</v>
      </c>
      <c r="BC90">
        <v>2</v>
      </c>
      <c r="BD90">
        <v>393</v>
      </c>
      <c r="BE90">
        <v>290.43810987472534</v>
      </c>
      <c r="BF90">
        <v>289.61451499999384</v>
      </c>
      <c r="BG90">
        <v>126.44505707311399</v>
      </c>
      <c r="BH90">
        <v>125.01761465100296</v>
      </c>
      <c r="BI90">
        <v>2</v>
      </c>
      <c r="BJ90">
        <v>5</v>
      </c>
      <c r="BK90">
        <v>2</v>
      </c>
      <c r="BL90">
        <v>422</v>
      </c>
      <c r="BM90">
        <v>389.52734923362732</v>
      </c>
      <c r="BN90">
        <v>388.37617500001215</v>
      </c>
      <c r="BO90">
        <v>127.07559439693625</v>
      </c>
      <c r="BP90">
        <v>125.00547379931665</v>
      </c>
      <c r="BQ90">
        <v>3</v>
      </c>
      <c r="BR90">
        <v>3</v>
      </c>
      <c r="BS90">
        <v>2</v>
      </c>
      <c r="BT90">
        <v>517</v>
      </c>
      <c r="BU90">
        <v>358.83504509925842</v>
      </c>
      <c r="BV90">
        <v>357.5846479999891</v>
      </c>
      <c r="BW90">
        <v>125.01448381681563</v>
      </c>
      <c r="BX90">
        <v>125.00608152889644</v>
      </c>
      <c r="BY90">
        <v>127.17077286533976</v>
      </c>
      <c r="BZ90">
        <v>3</v>
      </c>
      <c r="CA90">
        <v>4</v>
      </c>
      <c r="CB90">
        <v>2</v>
      </c>
      <c r="CC90">
        <v>797</v>
      </c>
      <c r="CD90">
        <v>735.47376298904419</v>
      </c>
      <c r="CE90">
        <v>733.0708569999988</v>
      </c>
      <c r="CF90">
        <v>125.00247640888389</v>
      </c>
      <c r="CG90">
        <v>126.97955966447574</v>
      </c>
      <c r="CH90">
        <v>125.00136940249628</v>
      </c>
      <c r="CI90">
        <v>3</v>
      </c>
      <c r="CJ90">
        <v>5</v>
      </c>
      <c r="CK90">
        <v>2</v>
      </c>
      <c r="CL90">
        <v>386</v>
      </c>
      <c r="CM90">
        <v>446.66600704193115</v>
      </c>
      <c r="CN90">
        <v>445.4369999999908</v>
      </c>
      <c r="CO90">
        <v>125.00012954419572</v>
      </c>
      <c r="CP90">
        <v>127.49402029675714</v>
      </c>
      <c r="CQ90">
        <v>125.00054329168103</v>
      </c>
    </row>
    <row r="91" spans="1:95" s="8" customFormat="1" x14ac:dyDescent="0.35">
      <c r="A91">
        <v>1090</v>
      </c>
      <c r="B91">
        <v>1</v>
      </c>
      <c r="C91">
        <v>1</v>
      </c>
      <c r="D91">
        <v>3</v>
      </c>
      <c r="E91">
        <v>106</v>
      </c>
      <c r="F91">
        <v>14.91323709487915</v>
      </c>
      <c r="G91">
        <v>14.901669000013499</v>
      </c>
      <c r="H91">
        <v>125.00000000003195</v>
      </c>
      <c r="I91">
        <v>1</v>
      </c>
      <c r="J91">
        <v>2</v>
      </c>
      <c r="K91">
        <v>3</v>
      </c>
      <c r="L91">
        <v>144</v>
      </c>
      <c r="M91">
        <v>39.8941330909729</v>
      </c>
      <c r="N91">
        <v>39.832454000017606</v>
      </c>
      <c r="O91">
        <v>125.0000000000537</v>
      </c>
      <c r="P91">
        <v>1</v>
      </c>
      <c r="Q91">
        <v>3</v>
      </c>
      <c r="R91">
        <v>3</v>
      </c>
      <c r="S91">
        <v>158</v>
      </c>
      <c r="T91">
        <v>65.829101085662842</v>
      </c>
      <c r="U91">
        <v>65.723123000003397</v>
      </c>
      <c r="V91">
        <v>125.00000000007567</v>
      </c>
      <c r="W91">
        <v>1</v>
      </c>
      <c r="X91">
        <v>4</v>
      </c>
      <c r="Y91">
        <v>2</v>
      </c>
      <c r="Z91">
        <v>723</v>
      </c>
      <c r="AA91">
        <v>400.65651321411133</v>
      </c>
      <c r="AB91">
        <v>399.42618999998376</v>
      </c>
      <c r="AC91">
        <v>125.01882123302293</v>
      </c>
      <c r="AD91">
        <v>1</v>
      </c>
      <c r="AE91">
        <v>5</v>
      </c>
      <c r="AF91">
        <v>2</v>
      </c>
      <c r="AG91">
        <v>375</v>
      </c>
      <c r="AH91">
        <v>259.86830306053162</v>
      </c>
      <c r="AI91">
        <v>259.09335300000384</v>
      </c>
      <c r="AJ91">
        <v>125.00115691602878</v>
      </c>
      <c r="AK91">
        <v>2</v>
      </c>
      <c r="AL91">
        <v>2</v>
      </c>
      <c r="AM91">
        <v>3</v>
      </c>
      <c r="AN91">
        <v>319</v>
      </c>
      <c r="AO91">
        <v>118.00975394248962</v>
      </c>
      <c r="AP91">
        <v>117.64534499999718</v>
      </c>
      <c r="AQ91">
        <v>125.00000000004802</v>
      </c>
      <c r="AR91">
        <v>125.00000000005996</v>
      </c>
      <c r="AS91">
        <v>2</v>
      </c>
      <c r="AT91">
        <v>3</v>
      </c>
      <c r="AU91">
        <v>2</v>
      </c>
      <c r="AV91">
        <v>351</v>
      </c>
      <c r="AW91">
        <v>195.20922112464905</v>
      </c>
      <c r="AX91">
        <v>194.5932679999969</v>
      </c>
      <c r="AY91">
        <v>125.9935975355646</v>
      </c>
      <c r="AZ91">
        <v>125.00011234896058</v>
      </c>
      <c r="BA91">
        <v>2</v>
      </c>
      <c r="BB91">
        <v>4</v>
      </c>
      <c r="BC91">
        <v>2</v>
      </c>
      <c r="BD91">
        <v>527</v>
      </c>
      <c r="BE91">
        <v>389.51960897445679</v>
      </c>
      <c r="BF91">
        <v>388.39364600001136</v>
      </c>
      <c r="BG91">
        <v>127.72332220151522</v>
      </c>
      <c r="BH91">
        <v>125.00103042641584</v>
      </c>
      <c r="BI91">
        <v>2</v>
      </c>
      <c r="BJ91">
        <v>5</v>
      </c>
      <c r="BK91">
        <v>2</v>
      </c>
      <c r="BL91">
        <v>480</v>
      </c>
      <c r="BM91">
        <v>441.74601793289185</v>
      </c>
      <c r="BN91">
        <v>440.35807900001237</v>
      </c>
      <c r="BO91">
        <v>125.00208240870131</v>
      </c>
      <c r="BP91">
        <v>125.001118276074</v>
      </c>
      <c r="BQ91">
        <v>3</v>
      </c>
      <c r="BR91">
        <v>3</v>
      </c>
      <c r="BS91">
        <v>2</v>
      </c>
      <c r="BT91">
        <v>668</v>
      </c>
      <c r="BU91">
        <v>462.4604480266571</v>
      </c>
      <c r="BV91">
        <v>460.87362600001507</v>
      </c>
      <c r="BW91">
        <v>125.03715256892885</v>
      </c>
      <c r="BX91">
        <v>125.00049914424434</v>
      </c>
      <c r="BY91">
        <v>125.00260990606147</v>
      </c>
      <c r="BZ91">
        <v>3</v>
      </c>
      <c r="CA91">
        <v>4</v>
      </c>
      <c r="CB91">
        <v>2</v>
      </c>
      <c r="CC91">
        <v>379</v>
      </c>
      <c r="CD91">
        <v>349.89237499237061</v>
      </c>
      <c r="CE91">
        <v>348.83489499999268</v>
      </c>
      <c r="CF91">
        <v>125.00025171410861</v>
      </c>
      <c r="CG91">
        <v>125.00012779661874</v>
      </c>
      <c r="CH91">
        <v>125.00124513556361</v>
      </c>
      <c r="CI91">
        <v>3</v>
      </c>
      <c r="CJ91">
        <v>5</v>
      </c>
      <c r="CK91">
        <v>2</v>
      </c>
      <c r="CL91">
        <v>411</v>
      </c>
      <c r="CM91">
        <v>475.09396386146545</v>
      </c>
      <c r="CN91">
        <v>473.49388799999724</v>
      </c>
      <c r="CO91">
        <v>128.47497826926502</v>
      </c>
      <c r="CP91">
        <v>128.41116395623291</v>
      </c>
      <c r="CQ91">
        <v>125.00411309215414</v>
      </c>
    </row>
    <row r="92" spans="1:95" s="8" customFormat="1" x14ac:dyDescent="0.35">
      <c r="A92">
        <v>1091</v>
      </c>
      <c r="B92">
        <v>1</v>
      </c>
      <c r="C92">
        <v>1</v>
      </c>
      <c r="D92">
        <v>3</v>
      </c>
      <c r="E92">
        <v>360</v>
      </c>
      <c r="F92">
        <v>94.701930999755859</v>
      </c>
      <c r="G92">
        <v>94.106999999999971</v>
      </c>
      <c r="H92">
        <v>125.00000000005578</v>
      </c>
      <c r="I92">
        <v>1</v>
      </c>
      <c r="J92">
        <v>2</v>
      </c>
      <c r="K92">
        <v>2</v>
      </c>
      <c r="L92">
        <v>407</v>
      </c>
      <c r="M92">
        <v>210.01239013671875</v>
      </c>
      <c r="N92">
        <v>208.77491800000007</v>
      </c>
      <c r="O92">
        <v>125.06563380845446</v>
      </c>
      <c r="P92">
        <v>1</v>
      </c>
      <c r="Q92">
        <v>3</v>
      </c>
      <c r="R92">
        <v>2</v>
      </c>
      <c r="S92">
        <v>364</v>
      </c>
      <c r="T92">
        <v>249.97244906425476</v>
      </c>
      <c r="U92">
        <v>248.60610199999985</v>
      </c>
      <c r="V92">
        <v>125.00071610782317</v>
      </c>
      <c r="W92">
        <v>1</v>
      </c>
      <c r="X92">
        <v>4</v>
      </c>
      <c r="Y92">
        <v>2</v>
      </c>
      <c r="Z92">
        <v>444</v>
      </c>
      <c r="AA92">
        <v>359.31587910652161</v>
      </c>
      <c r="AB92">
        <v>357.33691400000021</v>
      </c>
      <c r="AC92">
        <v>125.00071610782314</v>
      </c>
      <c r="AD92">
        <v>1</v>
      </c>
      <c r="AE92">
        <v>5</v>
      </c>
      <c r="AF92">
        <v>2</v>
      </c>
      <c r="AG92">
        <v>325</v>
      </c>
      <c r="AH92">
        <v>317.84949111938477</v>
      </c>
      <c r="AI92">
        <v>316.1176660000001</v>
      </c>
      <c r="AJ92">
        <v>125.00078107257261</v>
      </c>
      <c r="AK92">
        <v>2</v>
      </c>
      <c r="AL92">
        <v>2</v>
      </c>
      <c r="AM92">
        <v>3</v>
      </c>
      <c r="AN92">
        <v>1389</v>
      </c>
      <c r="AO92">
        <v>723.6110680103302</v>
      </c>
      <c r="AP92">
        <v>717.87435399999981</v>
      </c>
      <c r="AQ92">
        <v>125.00000000004233</v>
      </c>
      <c r="AR92">
        <v>125.00000000013415</v>
      </c>
      <c r="AS92">
        <v>2</v>
      </c>
      <c r="AT92">
        <v>3</v>
      </c>
      <c r="AU92">
        <v>2</v>
      </c>
      <c r="AV92">
        <v>386</v>
      </c>
      <c r="AW92">
        <v>360.55300998687744</v>
      </c>
      <c r="AX92">
        <v>353.87186799999972</v>
      </c>
      <c r="AY92">
        <v>125.87719803176168</v>
      </c>
      <c r="AZ92">
        <v>125.00004754741906</v>
      </c>
      <c r="BA92">
        <v>2</v>
      </c>
      <c r="BB92">
        <v>4</v>
      </c>
      <c r="BC92">
        <v>2</v>
      </c>
      <c r="BD92">
        <v>541</v>
      </c>
      <c r="BE92">
        <v>765.93134093284607</v>
      </c>
      <c r="BF92">
        <v>748.23565500000041</v>
      </c>
      <c r="BG92">
        <v>127.49123855405701</v>
      </c>
      <c r="BH92">
        <v>125.00139545474171</v>
      </c>
      <c r="BI92">
        <v>2</v>
      </c>
      <c r="BJ92">
        <v>5</v>
      </c>
      <c r="BK92">
        <v>2</v>
      </c>
      <c r="BL92">
        <v>388</v>
      </c>
      <c r="BM92">
        <v>682.56931304931641</v>
      </c>
      <c r="BN92">
        <v>669.35146299999951</v>
      </c>
      <c r="BO92">
        <v>128.00059145219117</v>
      </c>
      <c r="BP92">
        <v>125.00005837280641</v>
      </c>
      <c r="BQ92">
        <v>3</v>
      </c>
      <c r="BR92">
        <v>3</v>
      </c>
      <c r="BS92">
        <v>2</v>
      </c>
      <c r="BT92">
        <v>419</v>
      </c>
      <c r="BU92">
        <v>550.09785914421082</v>
      </c>
      <c r="BV92">
        <v>539.19462400000066</v>
      </c>
      <c r="BW92">
        <v>125.00797104107077</v>
      </c>
      <c r="BX92">
        <v>125.00124253289839</v>
      </c>
      <c r="BY92">
        <v>127.15336979889703</v>
      </c>
      <c r="BZ92">
        <v>3</v>
      </c>
      <c r="CA92">
        <v>4</v>
      </c>
      <c r="CB92">
        <v>2</v>
      </c>
      <c r="CC92">
        <v>386</v>
      </c>
      <c r="CD92">
        <v>623.12248206138611</v>
      </c>
      <c r="CE92">
        <v>611.41530299999886</v>
      </c>
      <c r="CF92">
        <v>125.00007541989426</v>
      </c>
      <c r="CG92">
        <v>125.56324565642761</v>
      </c>
      <c r="CH92">
        <v>125.00620752921766</v>
      </c>
      <c r="CI92">
        <v>3</v>
      </c>
      <c r="CJ92">
        <v>5</v>
      </c>
      <c r="CK92">
        <v>2</v>
      </c>
      <c r="CL92">
        <v>389</v>
      </c>
      <c r="CM92">
        <v>836.68059492111206</v>
      </c>
      <c r="CN92">
        <v>823.57454599999983</v>
      </c>
      <c r="CO92">
        <v>126.72604623195933</v>
      </c>
      <c r="CP92">
        <v>126.91149181416947</v>
      </c>
      <c r="CQ92">
        <v>125.00150056859609</v>
      </c>
    </row>
    <row r="93" spans="1:95" s="8" customFormat="1" x14ac:dyDescent="0.35">
      <c r="A93">
        <v>1092</v>
      </c>
      <c r="B93">
        <v>1</v>
      </c>
      <c r="C93">
        <v>1</v>
      </c>
      <c r="D93">
        <v>2</v>
      </c>
      <c r="E93">
        <v>335</v>
      </c>
      <c r="F93">
        <v>83.975521087646484</v>
      </c>
      <c r="G93">
        <v>83.030805999999757</v>
      </c>
      <c r="H93">
        <v>125.00016474472697</v>
      </c>
      <c r="I93">
        <v>1</v>
      </c>
      <c r="J93">
        <v>2</v>
      </c>
      <c r="K93">
        <v>2</v>
      </c>
      <c r="L93">
        <v>326</v>
      </c>
      <c r="M93">
        <v>160.92567896842957</v>
      </c>
      <c r="N93">
        <v>160.20399799999996</v>
      </c>
      <c r="O93">
        <v>125.00015748626463</v>
      </c>
      <c r="P93">
        <v>1</v>
      </c>
      <c r="Q93">
        <v>3</v>
      </c>
      <c r="R93">
        <v>2</v>
      </c>
      <c r="S93">
        <v>365</v>
      </c>
      <c r="T93">
        <v>271.22121691703796</v>
      </c>
      <c r="U93">
        <v>265.88600799999949</v>
      </c>
      <c r="V93">
        <v>125.0216652962585</v>
      </c>
      <c r="W93">
        <v>1</v>
      </c>
      <c r="X93">
        <v>4</v>
      </c>
      <c r="Y93">
        <v>2</v>
      </c>
      <c r="Z93">
        <v>322</v>
      </c>
      <c r="AA93">
        <v>259.88766884803772</v>
      </c>
      <c r="AB93">
        <v>255.07066699999996</v>
      </c>
      <c r="AC93">
        <v>125.00014130988103</v>
      </c>
      <c r="AD93">
        <v>1</v>
      </c>
      <c r="AE93">
        <v>5</v>
      </c>
      <c r="AF93">
        <v>2</v>
      </c>
      <c r="AG93">
        <v>487</v>
      </c>
      <c r="AH93">
        <v>492.69375586509705</v>
      </c>
      <c r="AI93">
        <v>486.51109200000064</v>
      </c>
      <c r="AJ93">
        <v>125.00013271633809</v>
      </c>
      <c r="AK93">
        <v>2</v>
      </c>
      <c r="AL93">
        <v>2</v>
      </c>
      <c r="AM93">
        <v>2</v>
      </c>
      <c r="AN93">
        <v>345</v>
      </c>
      <c r="AO93">
        <v>185.32694101333618</v>
      </c>
      <c r="AP93">
        <v>184.45229199999994</v>
      </c>
      <c r="AQ93">
        <v>125.00013283164989</v>
      </c>
      <c r="AR93">
        <v>127.56545972540199</v>
      </c>
      <c r="AS93">
        <v>2</v>
      </c>
      <c r="AT93">
        <v>3</v>
      </c>
      <c r="AU93">
        <v>2</v>
      </c>
      <c r="AV93">
        <v>351</v>
      </c>
      <c r="AW93">
        <v>296.47916579246521</v>
      </c>
      <c r="AX93">
        <v>291.39213100000143</v>
      </c>
      <c r="AY93">
        <v>125.23922260216611</v>
      </c>
      <c r="AZ93">
        <v>125.0000840751767</v>
      </c>
      <c r="BA93">
        <v>2</v>
      </c>
      <c r="BB93">
        <v>4</v>
      </c>
      <c r="BC93">
        <v>2</v>
      </c>
      <c r="BD93">
        <v>714</v>
      </c>
      <c r="BE93">
        <v>814.95246505737305</v>
      </c>
      <c r="BF93">
        <v>800.2041560000016</v>
      </c>
      <c r="BG93">
        <v>125.41786282953032</v>
      </c>
      <c r="BH93">
        <v>125.00026795064825</v>
      </c>
      <c r="BI93">
        <v>2</v>
      </c>
      <c r="BJ93">
        <v>5</v>
      </c>
      <c r="BK93">
        <v>2</v>
      </c>
      <c r="BL93">
        <v>1189</v>
      </c>
      <c r="BM93">
        <v>1801.4704170227051</v>
      </c>
      <c r="BN93">
        <v>1767.7397119999987</v>
      </c>
      <c r="BO93">
        <v>128.47295644518616</v>
      </c>
      <c r="BP93">
        <v>125.01582869240895</v>
      </c>
      <c r="BQ93">
        <v>3</v>
      </c>
      <c r="BR93">
        <v>3</v>
      </c>
      <c r="BS93">
        <v>2</v>
      </c>
      <c r="BT93">
        <v>358</v>
      </c>
      <c r="BU93">
        <v>376.17604684829712</v>
      </c>
      <c r="BV93">
        <v>373.45108799999798</v>
      </c>
      <c r="BW93">
        <v>125.00013266198448</v>
      </c>
      <c r="BX93">
        <v>126.39513398629774</v>
      </c>
      <c r="BY93">
        <v>128.29811013396525</v>
      </c>
      <c r="BZ93">
        <v>3</v>
      </c>
      <c r="CA93">
        <v>4</v>
      </c>
      <c r="CB93">
        <v>2</v>
      </c>
      <c r="CC93">
        <v>326</v>
      </c>
      <c r="CD93">
        <v>440.19836807250977</v>
      </c>
      <c r="CE93">
        <v>437.47259800000211</v>
      </c>
      <c r="CF93">
        <v>125.00013327247167</v>
      </c>
      <c r="CG93">
        <v>125.91454302675763</v>
      </c>
      <c r="CH93">
        <v>126.05278558528008</v>
      </c>
      <c r="CI93">
        <v>3</v>
      </c>
      <c r="CJ93">
        <v>5</v>
      </c>
      <c r="CK93">
        <v>2</v>
      </c>
      <c r="CL93">
        <v>357</v>
      </c>
      <c r="CM93">
        <v>606.27671194076538</v>
      </c>
      <c r="CN93">
        <v>601.94265300000006</v>
      </c>
      <c r="CO93">
        <v>128.20217155153779</v>
      </c>
      <c r="CP93">
        <v>127.4330413965093</v>
      </c>
      <c r="CQ93">
        <v>125.000861896995</v>
      </c>
    </row>
    <row r="94" spans="1:95" s="8" customFormat="1" x14ac:dyDescent="0.35">
      <c r="A94">
        <v>1093</v>
      </c>
      <c r="B94">
        <v>1</v>
      </c>
      <c r="C94">
        <v>1</v>
      </c>
      <c r="D94">
        <v>2</v>
      </c>
      <c r="E94">
        <v>392</v>
      </c>
      <c r="F94">
        <v>115.86546182632446</v>
      </c>
      <c r="G94">
        <v>115.05304099999921</v>
      </c>
      <c r="H94">
        <v>125.01471408730842</v>
      </c>
      <c r="I94">
        <v>1</v>
      </c>
      <c r="J94">
        <v>2</v>
      </c>
      <c r="K94">
        <v>2</v>
      </c>
      <c r="L94">
        <v>388</v>
      </c>
      <c r="M94">
        <v>231.99692606925964</v>
      </c>
      <c r="N94">
        <v>227.46884900000077</v>
      </c>
      <c r="O94">
        <v>125.01471408730842</v>
      </c>
      <c r="P94">
        <v>1</v>
      </c>
      <c r="Q94">
        <v>3</v>
      </c>
      <c r="R94">
        <v>2</v>
      </c>
      <c r="S94">
        <v>403</v>
      </c>
      <c r="T94">
        <v>320.63061380386353</v>
      </c>
      <c r="U94">
        <v>316.47822300000007</v>
      </c>
      <c r="V94">
        <v>125.01471408730842</v>
      </c>
      <c r="W94">
        <v>1</v>
      </c>
      <c r="X94">
        <v>4</v>
      </c>
      <c r="Y94">
        <v>2</v>
      </c>
      <c r="Z94">
        <v>365</v>
      </c>
      <c r="AA94">
        <v>288.77766585350037</v>
      </c>
      <c r="AB94">
        <v>286.96262200000092</v>
      </c>
      <c r="AC94">
        <v>125.01471408730842</v>
      </c>
      <c r="AD94">
        <v>1</v>
      </c>
      <c r="AE94">
        <v>5</v>
      </c>
      <c r="AF94">
        <v>2</v>
      </c>
      <c r="AG94">
        <v>427</v>
      </c>
      <c r="AH94">
        <v>407.0679919719696</v>
      </c>
      <c r="AI94">
        <v>404.765625</v>
      </c>
      <c r="AJ94">
        <v>125.01471408730842</v>
      </c>
      <c r="AK94">
        <v>2</v>
      </c>
      <c r="AL94">
        <v>2</v>
      </c>
      <c r="AM94">
        <v>3</v>
      </c>
      <c r="AN94">
        <v>277</v>
      </c>
      <c r="AO94">
        <v>137.01554417610168</v>
      </c>
      <c r="AP94">
        <v>136.36259299999983</v>
      </c>
      <c r="AQ94">
        <v>125.00000000009035</v>
      </c>
      <c r="AR94">
        <v>125.00000000022078</v>
      </c>
      <c r="AS94">
        <v>2</v>
      </c>
      <c r="AT94">
        <v>3</v>
      </c>
      <c r="AU94">
        <v>2</v>
      </c>
      <c r="AV94">
        <v>30216</v>
      </c>
      <c r="AW94">
        <v>27783.84041595459</v>
      </c>
      <c r="AX94">
        <v>27433.055168000003</v>
      </c>
      <c r="AY94">
        <v>125.01471408730842</v>
      </c>
      <c r="AZ94">
        <v>125.00000002168939</v>
      </c>
      <c r="BA94">
        <v>2</v>
      </c>
      <c r="BB94">
        <v>4</v>
      </c>
      <c r="BC94">
        <v>2</v>
      </c>
      <c r="BD94">
        <v>347</v>
      </c>
      <c r="BE94">
        <v>512.9023129940033</v>
      </c>
      <c r="BF94">
        <v>506.12720099999569</v>
      </c>
      <c r="BG94">
        <v>127.47044809966141</v>
      </c>
      <c r="BH94">
        <v>125.00390598805666</v>
      </c>
      <c r="BI94">
        <v>2</v>
      </c>
      <c r="BJ94">
        <v>5</v>
      </c>
      <c r="BK94">
        <v>2</v>
      </c>
      <c r="BL94">
        <v>478</v>
      </c>
      <c r="BM94">
        <v>683.03787899017334</v>
      </c>
      <c r="BN94">
        <v>676.24646000000212</v>
      </c>
      <c r="BO94">
        <v>125.01471408730842</v>
      </c>
      <c r="BP94">
        <v>125.01522678585745</v>
      </c>
      <c r="BQ94">
        <v>3</v>
      </c>
      <c r="BR94">
        <v>3</v>
      </c>
      <c r="BS94">
        <v>2</v>
      </c>
      <c r="BT94">
        <v>856</v>
      </c>
      <c r="BU94">
        <v>1082.8634080886841</v>
      </c>
      <c r="BV94">
        <v>1062.6975989999992</v>
      </c>
      <c r="BW94">
        <v>125.01471408730842</v>
      </c>
      <c r="BX94">
        <v>125.02136510022703</v>
      </c>
      <c r="BY94">
        <v>125.0980161798597</v>
      </c>
      <c r="BZ94">
        <v>3</v>
      </c>
      <c r="CA94">
        <v>4</v>
      </c>
      <c r="CB94">
        <v>3</v>
      </c>
      <c r="CC94">
        <v>2967</v>
      </c>
      <c r="CD94">
        <v>4866.1047279834747</v>
      </c>
      <c r="CE94">
        <v>4805.7487569999939</v>
      </c>
      <c r="CF94">
        <v>125.00000000011289</v>
      </c>
      <c r="CG94">
        <v>125.00000000019087</v>
      </c>
      <c r="CH94">
        <v>125.00000000014842</v>
      </c>
      <c r="CI94">
        <v>3</v>
      </c>
      <c r="CJ94">
        <v>5</v>
      </c>
      <c r="CK94">
        <v>2</v>
      </c>
      <c r="CL94">
        <v>430</v>
      </c>
      <c r="CM94">
        <v>911.92745685577393</v>
      </c>
      <c r="CN94">
        <v>901.40015999999741</v>
      </c>
      <c r="CO94">
        <v>125.01471408730842</v>
      </c>
      <c r="CP94">
        <v>125.01476995286269</v>
      </c>
      <c r="CQ94">
        <v>125.0000974373356</v>
      </c>
    </row>
    <row r="95" spans="1:95" s="8" customFormat="1" x14ac:dyDescent="0.35">
      <c r="A95">
        <v>1094</v>
      </c>
      <c r="B95">
        <v>1</v>
      </c>
      <c r="C95">
        <v>1</v>
      </c>
      <c r="D95">
        <v>3</v>
      </c>
      <c r="E95">
        <v>260</v>
      </c>
      <c r="F95">
        <v>65.196730136871338</v>
      </c>
      <c r="G95">
        <v>64.790352999996685</v>
      </c>
      <c r="H95">
        <v>125.00000000004965</v>
      </c>
      <c r="I95">
        <v>1</v>
      </c>
      <c r="J95">
        <v>2</v>
      </c>
      <c r="K95">
        <v>3</v>
      </c>
      <c r="L95">
        <v>253</v>
      </c>
      <c r="M95">
        <v>127.04839396476746</v>
      </c>
      <c r="N95">
        <v>126.44437299999845</v>
      </c>
      <c r="O95">
        <v>125.00000000006436</v>
      </c>
      <c r="P95">
        <v>1</v>
      </c>
      <c r="Q95">
        <v>3</v>
      </c>
      <c r="R95">
        <v>3</v>
      </c>
      <c r="S95">
        <v>295</v>
      </c>
      <c r="T95">
        <v>214.78176116943359</v>
      </c>
      <c r="U95">
        <v>209.84223700000439</v>
      </c>
      <c r="V95">
        <v>125.00000000009268</v>
      </c>
      <c r="W95">
        <v>1</v>
      </c>
      <c r="X95">
        <v>4</v>
      </c>
      <c r="Y95">
        <v>3</v>
      </c>
      <c r="Z95">
        <v>194</v>
      </c>
      <c r="AA95">
        <v>196.94681096076965</v>
      </c>
      <c r="AB95">
        <v>193.12636100000236</v>
      </c>
      <c r="AC95">
        <v>125.00000000013659</v>
      </c>
      <c r="AD95">
        <v>1</v>
      </c>
      <c r="AE95">
        <v>5</v>
      </c>
      <c r="AF95">
        <v>2</v>
      </c>
      <c r="AG95">
        <v>412</v>
      </c>
      <c r="AH95">
        <v>514.73448204994202</v>
      </c>
      <c r="AI95">
        <v>511.83767200000148</v>
      </c>
      <c r="AJ95">
        <v>125.06322422082492</v>
      </c>
      <c r="AK95">
        <v>2</v>
      </c>
      <c r="AL95">
        <v>2</v>
      </c>
      <c r="AM95">
        <v>3</v>
      </c>
      <c r="AN95">
        <v>331</v>
      </c>
      <c r="AO95">
        <v>223.1765570640564</v>
      </c>
      <c r="AP95">
        <v>218.30251899999712</v>
      </c>
      <c r="AQ95">
        <v>125.0000000000492</v>
      </c>
      <c r="AR95">
        <v>125.00000000009304</v>
      </c>
      <c r="AS95">
        <v>2</v>
      </c>
      <c r="AT95">
        <v>3</v>
      </c>
      <c r="AU95">
        <v>3</v>
      </c>
      <c r="AV95">
        <v>398</v>
      </c>
      <c r="AW95">
        <v>395.79259204864502</v>
      </c>
      <c r="AX95">
        <v>392.05709400000342</v>
      </c>
      <c r="AY95">
        <v>125.00000000009503</v>
      </c>
      <c r="AZ95">
        <v>125.00000000008882</v>
      </c>
      <c r="BA95">
        <v>2</v>
      </c>
      <c r="BB95">
        <v>4</v>
      </c>
      <c r="BC95">
        <v>3</v>
      </c>
      <c r="BD95">
        <v>1148</v>
      </c>
      <c r="BE95">
        <v>1447.1970801353455</v>
      </c>
      <c r="BF95">
        <v>1429.7307870000004</v>
      </c>
      <c r="BG95">
        <v>125.00000000017252</v>
      </c>
      <c r="BH95">
        <v>125.00000000011171</v>
      </c>
      <c r="BI95">
        <v>2</v>
      </c>
      <c r="BJ95">
        <v>5</v>
      </c>
      <c r="BK95">
        <v>3</v>
      </c>
      <c r="BL95">
        <v>1002</v>
      </c>
      <c r="BM95">
        <v>1408.6986548900604</v>
      </c>
      <c r="BN95">
        <v>1398.5430479999995</v>
      </c>
      <c r="BO95">
        <v>125.000000000361</v>
      </c>
      <c r="BP95">
        <v>125.00000000016652</v>
      </c>
      <c r="BQ95">
        <v>3</v>
      </c>
      <c r="BR95">
        <v>3</v>
      </c>
      <c r="BS95">
        <v>3</v>
      </c>
      <c r="BT95">
        <v>1124</v>
      </c>
      <c r="BU95">
        <v>1148.3880369663239</v>
      </c>
      <c r="BV95">
        <v>1142.012877000001</v>
      </c>
      <c r="BW95">
        <v>125.00000000006341</v>
      </c>
      <c r="BX95">
        <v>125.0000000000898</v>
      </c>
      <c r="BY95">
        <v>125.0000000001743</v>
      </c>
      <c r="BZ95">
        <v>3</v>
      </c>
      <c r="CA95">
        <v>4</v>
      </c>
      <c r="CB95">
        <v>2</v>
      </c>
      <c r="CC95">
        <v>459</v>
      </c>
      <c r="CD95">
        <v>693.26953196525574</v>
      </c>
      <c r="CE95">
        <v>689.56300899999769</v>
      </c>
      <c r="CF95">
        <v>125.98161345972686</v>
      </c>
      <c r="CG95">
        <v>125.62434670637357</v>
      </c>
      <c r="CH95">
        <v>125.00002003514683</v>
      </c>
      <c r="CI95">
        <v>3</v>
      </c>
      <c r="CJ95">
        <v>5</v>
      </c>
      <c r="CK95">
        <v>3</v>
      </c>
      <c r="CL95">
        <v>1078</v>
      </c>
      <c r="CM95">
        <v>1799.0306341648102</v>
      </c>
      <c r="CN95">
        <v>1789.123299999992</v>
      </c>
      <c r="CO95">
        <v>125.00000000024404</v>
      </c>
      <c r="CP95">
        <v>125.00000000028342</v>
      </c>
      <c r="CQ95">
        <v>125.00000000018267</v>
      </c>
    </row>
    <row r="96" spans="1:95" s="8" customFormat="1" x14ac:dyDescent="0.35">
      <c r="A96">
        <v>1095</v>
      </c>
      <c r="B96">
        <v>1</v>
      </c>
      <c r="C96">
        <v>1</v>
      </c>
      <c r="D96">
        <v>3</v>
      </c>
      <c r="E96">
        <v>111</v>
      </c>
      <c r="F96">
        <v>23.638643980026245</v>
      </c>
      <c r="G96">
        <v>23.571551000000909</v>
      </c>
      <c r="H96">
        <v>125.000000000046</v>
      </c>
      <c r="I96">
        <v>1</v>
      </c>
      <c r="J96">
        <v>2</v>
      </c>
      <c r="K96">
        <v>3</v>
      </c>
      <c r="L96">
        <v>300</v>
      </c>
      <c r="M96">
        <v>126.3936870098114</v>
      </c>
      <c r="N96">
        <v>125.64204499999323</v>
      </c>
      <c r="O96">
        <v>125.00000000005969</v>
      </c>
      <c r="P96">
        <v>1</v>
      </c>
      <c r="Q96">
        <v>3</v>
      </c>
      <c r="R96">
        <v>3</v>
      </c>
      <c r="S96">
        <v>120</v>
      </c>
      <c r="T96">
        <v>73.293231964111328</v>
      </c>
      <c r="U96">
        <v>72.989777999995567</v>
      </c>
      <c r="V96">
        <v>125.00000000007576</v>
      </c>
      <c r="W96">
        <v>1</v>
      </c>
      <c r="X96">
        <v>4</v>
      </c>
      <c r="Y96">
        <v>3</v>
      </c>
      <c r="Z96">
        <v>113</v>
      </c>
      <c r="AA96">
        <v>92.815723896026611</v>
      </c>
      <c r="AB96">
        <v>92.479104999998526</v>
      </c>
      <c r="AC96">
        <v>125.00000000010208</v>
      </c>
      <c r="AD96">
        <v>1</v>
      </c>
      <c r="AE96">
        <v>5</v>
      </c>
      <c r="AF96">
        <v>3</v>
      </c>
      <c r="AG96">
        <v>247</v>
      </c>
      <c r="AH96">
        <v>255.5740749835968</v>
      </c>
      <c r="AI96">
        <v>254.30271599999833</v>
      </c>
      <c r="AJ96">
        <v>125.0000000001379</v>
      </c>
      <c r="AK96">
        <v>2</v>
      </c>
      <c r="AL96">
        <v>2</v>
      </c>
      <c r="AM96">
        <v>2</v>
      </c>
      <c r="AN96">
        <v>627</v>
      </c>
      <c r="AO96">
        <v>330.70435190200806</v>
      </c>
      <c r="AP96">
        <v>328.98470699999598</v>
      </c>
      <c r="AQ96">
        <v>125.01730675533481</v>
      </c>
      <c r="AR96">
        <v>125.0001173674454</v>
      </c>
      <c r="AS96">
        <v>2</v>
      </c>
      <c r="AT96">
        <v>3</v>
      </c>
      <c r="AU96">
        <v>2</v>
      </c>
      <c r="AV96">
        <v>463</v>
      </c>
      <c r="AW96">
        <v>366.18377709388733</v>
      </c>
      <c r="AX96">
        <v>364.43998800000554</v>
      </c>
      <c r="AY96">
        <v>126.39278647173872</v>
      </c>
      <c r="AZ96">
        <v>125.00745570057271</v>
      </c>
      <c r="BA96">
        <v>2</v>
      </c>
      <c r="BB96">
        <v>4</v>
      </c>
      <c r="BC96">
        <v>2</v>
      </c>
      <c r="BD96">
        <v>427</v>
      </c>
      <c r="BE96">
        <v>457.95647406578064</v>
      </c>
      <c r="BF96">
        <v>455.35541799999919</v>
      </c>
      <c r="BG96">
        <v>125.00295948843996</v>
      </c>
      <c r="BH96">
        <v>125.00094365517867</v>
      </c>
      <c r="BI96">
        <v>2</v>
      </c>
      <c r="BJ96">
        <v>5</v>
      </c>
      <c r="BK96">
        <v>2</v>
      </c>
      <c r="BL96">
        <v>598</v>
      </c>
      <c r="BM96">
        <v>789.70613193511963</v>
      </c>
      <c r="BN96">
        <v>785.72763599999598</v>
      </c>
      <c r="BO96">
        <v>128.68047537898502</v>
      </c>
      <c r="BP96">
        <v>125.00010417323854</v>
      </c>
      <c r="BQ96">
        <v>3</v>
      </c>
      <c r="BR96">
        <v>3</v>
      </c>
      <c r="BS96">
        <v>2</v>
      </c>
      <c r="BT96">
        <v>405</v>
      </c>
      <c r="BU96">
        <v>396.45337510108948</v>
      </c>
      <c r="BV96">
        <v>394.41613700000016</v>
      </c>
      <c r="BW96">
        <v>125.01730675533481</v>
      </c>
      <c r="BX96">
        <v>125.66284008129779</v>
      </c>
      <c r="BY96">
        <v>127.469169810003</v>
      </c>
      <c r="BZ96">
        <v>3</v>
      </c>
      <c r="CA96">
        <v>4</v>
      </c>
      <c r="CB96">
        <v>2</v>
      </c>
      <c r="CC96">
        <v>1047</v>
      </c>
      <c r="CD96">
        <v>1346.034019947052</v>
      </c>
      <c r="CE96">
        <v>1339.4213300000047</v>
      </c>
      <c r="CF96">
        <v>125.12532490913753</v>
      </c>
      <c r="CG96">
        <v>125.04218696555938</v>
      </c>
      <c r="CH96">
        <v>125.0084615705464</v>
      </c>
      <c r="CI96">
        <v>3</v>
      </c>
      <c r="CJ96">
        <v>5</v>
      </c>
      <c r="CK96">
        <v>3</v>
      </c>
      <c r="CL96">
        <v>512</v>
      </c>
      <c r="CM96">
        <v>839.13023495674133</v>
      </c>
      <c r="CN96">
        <v>834.92957499999466</v>
      </c>
      <c r="CO96">
        <v>128.06261120176148</v>
      </c>
      <c r="CP96">
        <v>127.73196629792682</v>
      </c>
      <c r="CQ96">
        <v>125.00176550368967</v>
      </c>
    </row>
    <row r="97" spans="1:95" s="8" customFormat="1" x14ac:dyDescent="0.35">
      <c r="A97">
        <v>1096</v>
      </c>
      <c r="B97">
        <v>1</v>
      </c>
      <c r="C97">
        <v>1</v>
      </c>
      <c r="D97">
        <v>3</v>
      </c>
      <c r="E97">
        <v>132</v>
      </c>
      <c r="F97">
        <v>25.638010025024414</v>
      </c>
      <c r="G97">
        <v>25.571683000009216</v>
      </c>
      <c r="H97">
        <v>125.00000000008713</v>
      </c>
      <c r="I97">
        <v>1</v>
      </c>
      <c r="J97">
        <v>2</v>
      </c>
      <c r="K97">
        <v>3</v>
      </c>
      <c r="L97">
        <v>1328</v>
      </c>
      <c r="M97">
        <v>513.95535111427307</v>
      </c>
      <c r="N97">
        <v>511.56860599999345</v>
      </c>
      <c r="O97">
        <v>125.00000000009392</v>
      </c>
      <c r="P97">
        <v>1</v>
      </c>
      <c r="Q97">
        <v>3</v>
      </c>
      <c r="R97">
        <v>3</v>
      </c>
      <c r="S97">
        <v>169</v>
      </c>
      <c r="T97">
        <v>98.390537977218628</v>
      </c>
      <c r="U97">
        <v>98.102852000003622</v>
      </c>
      <c r="V97">
        <v>125.00000000010371</v>
      </c>
      <c r="W97">
        <v>1</v>
      </c>
      <c r="X97">
        <v>4</v>
      </c>
      <c r="Y97">
        <v>3</v>
      </c>
      <c r="Z97">
        <v>349</v>
      </c>
      <c r="AA97">
        <v>275.26915907859802</v>
      </c>
      <c r="AB97">
        <v>274.05387299999711</v>
      </c>
      <c r="AC97">
        <v>125.00000000011394</v>
      </c>
      <c r="AD97">
        <v>1</v>
      </c>
      <c r="AE97">
        <v>5</v>
      </c>
      <c r="AF97">
        <v>3</v>
      </c>
      <c r="AG97">
        <v>813</v>
      </c>
      <c r="AH97">
        <v>855.82699799537659</v>
      </c>
      <c r="AI97">
        <v>851.1710929999972</v>
      </c>
      <c r="AJ97">
        <v>125.00000000012244</v>
      </c>
      <c r="AK97">
        <v>2</v>
      </c>
      <c r="AL97">
        <v>2</v>
      </c>
      <c r="AM97">
        <v>2</v>
      </c>
      <c r="AN97">
        <v>541</v>
      </c>
      <c r="AO97">
        <v>318.69187998771667</v>
      </c>
      <c r="AP97">
        <v>317.0582710000017</v>
      </c>
      <c r="AQ97">
        <v>125.00933652688181</v>
      </c>
      <c r="AR97">
        <v>125.00016386593023</v>
      </c>
      <c r="AS97">
        <v>2</v>
      </c>
      <c r="AT97">
        <v>3</v>
      </c>
      <c r="AU97">
        <v>2</v>
      </c>
      <c r="AV97">
        <v>1010</v>
      </c>
      <c r="AW97">
        <v>876.9165370464325</v>
      </c>
      <c r="AX97">
        <v>872.02023500000359</v>
      </c>
      <c r="AY97">
        <v>125.670972853425</v>
      </c>
      <c r="AZ97">
        <v>125.00018812518086</v>
      </c>
      <c r="BA97">
        <v>2</v>
      </c>
      <c r="BB97">
        <v>4</v>
      </c>
      <c r="BC97">
        <v>2</v>
      </c>
      <c r="BD97">
        <v>425</v>
      </c>
      <c r="BE97">
        <v>485.09935402870178</v>
      </c>
      <c r="BF97">
        <v>482.43929700000444</v>
      </c>
      <c r="BG97">
        <v>125.06084239861661</v>
      </c>
      <c r="BH97">
        <v>125.00877982668212</v>
      </c>
      <c r="BI97">
        <v>2</v>
      </c>
      <c r="BJ97">
        <v>5</v>
      </c>
      <c r="BK97">
        <v>2</v>
      </c>
      <c r="BL97">
        <v>721</v>
      </c>
      <c r="BM97">
        <v>1096.9670460224152</v>
      </c>
      <c r="BN97">
        <v>1090.6331019999925</v>
      </c>
      <c r="BO97">
        <v>128.37406572167041</v>
      </c>
      <c r="BP97">
        <v>125.00011584342671</v>
      </c>
      <c r="BQ97">
        <v>3</v>
      </c>
      <c r="BR97">
        <v>3</v>
      </c>
      <c r="BS97">
        <v>2</v>
      </c>
      <c r="BT97">
        <v>397</v>
      </c>
      <c r="BU97">
        <v>435.04473090171814</v>
      </c>
      <c r="BV97">
        <v>432.63139000000956</v>
      </c>
      <c r="BW97">
        <v>125.00933652688181</v>
      </c>
      <c r="BX97">
        <v>125.88824916715714</v>
      </c>
      <c r="BY97">
        <v>127.74496423566222</v>
      </c>
      <c r="BZ97">
        <v>3</v>
      </c>
      <c r="CA97">
        <v>4</v>
      </c>
      <c r="CB97">
        <v>3</v>
      </c>
      <c r="CC97">
        <v>916</v>
      </c>
      <c r="CD97">
        <v>1411.0740900039673</v>
      </c>
      <c r="CE97">
        <v>1401.0595160000084</v>
      </c>
      <c r="CF97">
        <v>125.00000000010095</v>
      </c>
      <c r="CG97">
        <v>125.0000000001194</v>
      </c>
      <c r="CH97">
        <v>125.00000000012338</v>
      </c>
      <c r="CI97">
        <v>3</v>
      </c>
      <c r="CJ97">
        <v>5</v>
      </c>
      <c r="CK97">
        <v>2</v>
      </c>
      <c r="CL97">
        <v>639</v>
      </c>
      <c r="CM97">
        <v>1040.0306708812714</v>
      </c>
      <c r="CN97">
        <v>1034.4340619999857</v>
      </c>
      <c r="CO97">
        <v>125.51736067600763</v>
      </c>
      <c r="CP97">
        <v>125.06024739551316</v>
      </c>
      <c r="CQ97">
        <v>125.0068981875317</v>
      </c>
    </row>
    <row r="98" spans="1:95" s="8" customFormat="1" x14ac:dyDescent="0.35">
      <c r="A98">
        <v>1097</v>
      </c>
      <c r="B98">
        <v>1</v>
      </c>
      <c r="C98">
        <v>1</v>
      </c>
      <c r="D98">
        <v>3</v>
      </c>
      <c r="E98">
        <v>265</v>
      </c>
      <c r="F98">
        <v>52.444614887237549</v>
      </c>
      <c r="G98">
        <v>52.245805999991717</v>
      </c>
      <c r="H98">
        <v>125.00000000002002</v>
      </c>
      <c r="I98">
        <v>1</v>
      </c>
      <c r="J98">
        <v>2</v>
      </c>
      <c r="K98">
        <v>3</v>
      </c>
      <c r="L98">
        <v>255</v>
      </c>
      <c r="M98">
        <v>101.5229070186615</v>
      </c>
      <c r="N98">
        <v>101.11303999999654</v>
      </c>
      <c r="O98">
        <v>125.00000000005147</v>
      </c>
      <c r="P98">
        <v>1</v>
      </c>
      <c r="Q98">
        <v>3</v>
      </c>
      <c r="R98">
        <v>3</v>
      </c>
      <c r="S98">
        <v>1877</v>
      </c>
      <c r="T98">
        <v>1109.9187898635864</v>
      </c>
      <c r="U98">
        <v>1103.8305690000125</v>
      </c>
      <c r="V98">
        <v>125.00000000005234</v>
      </c>
      <c r="W98">
        <v>1</v>
      </c>
      <c r="X98">
        <v>4</v>
      </c>
      <c r="Y98">
        <v>3</v>
      </c>
      <c r="Z98">
        <v>542</v>
      </c>
      <c r="AA98">
        <v>424.87166380882263</v>
      </c>
      <c r="AB98">
        <v>422.7789079999784</v>
      </c>
      <c r="AC98">
        <v>125.00000000005654</v>
      </c>
      <c r="AD98">
        <v>1</v>
      </c>
      <c r="AE98">
        <v>5</v>
      </c>
      <c r="AF98">
        <v>3</v>
      </c>
      <c r="AG98">
        <v>328</v>
      </c>
      <c r="AH98">
        <v>321.08734703063965</v>
      </c>
      <c r="AI98">
        <v>319.46708900001249</v>
      </c>
      <c r="AJ98">
        <v>125.00000000006189</v>
      </c>
      <c r="AK98">
        <v>2</v>
      </c>
      <c r="AL98">
        <v>2</v>
      </c>
      <c r="AM98">
        <v>3</v>
      </c>
      <c r="AN98">
        <v>212</v>
      </c>
      <c r="AO98">
        <v>112.85235905647278</v>
      </c>
      <c r="AP98">
        <v>112.28450899999007</v>
      </c>
      <c r="AQ98">
        <v>125.00000000004138</v>
      </c>
      <c r="AR98">
        <v>125.0000000000681</v>
      </c>
      <c r="AS98">
        <v>2</v>
      </c>
      <c r="AT98">
        <v>3</v>
      </c>
      <c r="AU98">
        <v>3</v>
      </c>
      <c r="AV98">
        <v>537</v>
      </c>
      <c r="AW98">
        <v>549.42177200317383</v>
      </c>
      <c r="AX98">
        <v>545.9209889999911</v>
      </c>
      <c r="AY98">
        <v>125.00000000006013</v>
      </c>
      <c r="AZ98">
        <v>125.00000000004633</v>
      </c>
      <c r="BA98">
        <v>2</v>
      </c>
      <c r="BB98">
        <v>4</v>
      </c>
      <c r="BC98">
        <v>3</v>
      </c>
      <c r="BD98">
        <v>351</v>
      </c>
      <c r="BE98">
        <v>382.25297379493713</v>
      </c>
      <c r="BF98">
        <v>380.39280099999451</v>
      </c>
      <c r="BG98">
        <v>125.00000000008718</v>
      </c>
      <c r="BH98">
        <v>125.00000000004223</v>
      </c>
      <c r="BI98">
        <v>2</v>
      </c>
      <c r="BJ98">
        <v>5</v>
      </c>
      <c r="BK98">
        <v>3</v>
      </c>
      <c r="BL98">
        <v>1281</v>
      </c>
      <c r="BM98">
        <v>1669.9345619678497</v>
      </c>
      <c r="BN98">
        <v>1661.3266609999991</v>
      </c>
      <c r="BO98">
        <v>125.00000000013006</v>
      </c>
      <c r="BP98">
        <v>125.00000000004502</v>
      </c>
      <c r="BQ98">
        <v>3</v>
      </c>
      <c r="BR98">
        <v>3</v>
      </c>
      <c r="BS98">
        <v>3</v>
      </c>
      <c r="BT98">
        <v>1008</v>
      </c>
      <c r="BU98">
        <v>989.9608588218689</v>
      </c>
      <c r="BV98">
        <v>984.8871890000155</v>
      </c>
      <c r="BW98">
        <v>125.00000000003985</v>
      </c>
      <c r="BX98">
        <v>125.00000000004883</v>
      </c>
      <c r="BY98">
        <v>125.00000000008278</v>
      </c>
      <c r="BZ98">
        <v>3</v>
      </c>
      <c r="CA98">
        <v>4</v>
      </c>
      <c r="CB98">
        <v>3</v>
      </c>
      <c r="CC98">
        <v>572</v>
      </c>
      <c r="CD98">
        <v>739.04602694511414</v>
      </c>
      <c r="CE98">
        <v>735.42827000000398</v>
      </c>
      <c r="CF98">
        <v>125.00000000005797</v>
      </c>
      <c r="CG98">
        <v>125.00000000006293</v>
      </c>
      <c r="CH98">
        <v>125.0000000000507</v>
      </c>
      <c r="CI98">
        <v>3</v>
      </c>
      <c r="CJ98">
        <v>5</v>
      </c>
      <c r="CK98">
        <v>3</v>
      </c>
      <c r="CL98">
        <v>928</v>
      </c>
      <c r="CM98">
        <v>1506.8101329803467</v>
      </c>
      <c r="CN98">
        <v>1498.9684540000017</v>
      </c>
      <c r="CO98">
        <v>125.00000000008644</v>
      </c>
      <c r="CP98">
        <v>125.00000000008806</v>
      </c>
      <c r="CQ98">
        <v>125.00000000004533</v>
      </c>
    </row>
    <row r="99" spans="1:95" s="8" customFormat="1" x14ac:dyDescent="0.35">
      <c r="A99">
        <v>1098</v>
      </c>
      <c r="B99">
        <v>1</v>
      </c>
      <c r="C99">
        <v>1</v>
      </c>
      <c r="D99">
        <v>3</v>
      </c>
      <c r="E99">
        <v>267</v>
      </c>
      <c r="F99">
        <v>53.146647930145264</v>
      </c>
      <c r="G99">
        <v>52.880290999994031</v>
      </c>
      <c r="H99">
        <v>125.00000000021625</v>
      </c>
      <c r="I99">
        <v>1</v>
      </c>
      <c r="J99">
        <v>2</v>
      </c>
      <c r="K99">
        <v>3</v>
      </c>
      <c r="L99">
        <v>261</v>
      </c>
      <c r="M99">
        <v>104.06134104728699</v>
      </c>
      <c r="N99">
        <v>103.53655299999809</v>
      </c>
      <c r="O99">
        <v>125.00000000016473</v>
      </c>
      <c r="P99">
        <v>1</v>
      </c>
      <c r="Q99">
        <v>3</v>
      </c>
      <c r="R99">
        <v>3</v>
      </c>
      <c r="S99">
        <v>101</v>
      </c>
      <c r="T99">
        <v>60.241541147232056</v>
      </c>
      <c r="U99">
        <v>60.107269000000088</v>
      </c>
      <c r="V99">
        <v>125.00000000015477</v>
      </c>
      <c r="W99">
        <v>1</v>
      </c>
      <c r="X99">
        <v>4</v>
      </c>
      <c r="Y99">
        <v>2</v>
      </c>
      <c r="Z99">
        <v>373</v>
      </c>
      <c r="AA99">
        <v>337.11070895195007</v>
      </c>
      <c r="AB99">
        <v>332.05264099998749</v>
      </c>
      <c r="AC99">
        <v>125.0008310498793</v>
      </c>
      <c r="AD99">
        <v>1</v>
      </c>
      <c r="AE99">
        <v>5</v>
      </c>
      <c r="AF99">
        <v>3</v>
      </c>
      <c r="AG99">
        <v>394</v>
      </c>
      <c r="AH99">
        <v>503.15983915328979</v>
      </c>
      <c r="AI99">
        <v>500.47901999999885</v>
      </c>
      <c r="AJ99">
        <v>125.00000000014849</v>
      </c>
      <c r="AK99">
        <v>2</v>
      </c>
      <c r="AL99">
        <v>2</v>
      </c>
      <c r="AM99">
        <v>3</v>
      </c>
      <c r="AN99">
        <v>1542</v>
      </c>
      <c r="AO99">
        <v>1047.022115945816</v>
      </c>
      <c r="AP99">
        <v>1040.3581130000239</v>
      </c>
      <c r="AQ99">
        <v>125.00000000016499</v>
      </c>
      <c r="AR99">
        <v>125.00000000016435</v>
      </c>
      <c r="AS99">
        <v>2</v>
      </c>
      <c r="AT99">
        <v>3</v>
      </c>
      <c r="AU99">
        <v>2</v>
      </c>
      <c r="AV99">
        <v>378</v>
      </c>
      <c r="AW99">
        <v>385.69576096534729</v>
      </c>
      <c r="AX99">
        <v>383.24408399999083</v>
      </c>
      <c r="AY99">
        <v>125.34272473730891</v>
      </c>
      <c r="AZ99">
        <v>125.00286904810028</v>
      </c>
      <c r="BA99">
        <v>2</v>
      </c>
      <c r="BB99">
        <v>4</v>
      </c>
      <c r="BC99">
        <v>3</v>
      </c>
      <c r="BD99">
        <v>1733</v>
      </c>
      <c r="BE99">
        <v>2299.2365410327911</v>
      </c>
      <c r="BF99">
        <v>2286.3266710000025</v>
      </c>
      <c r="BG99">
        <v>125.00000000035257</v>
      </c>
      <c r="BH99">
        <v>125.00000000009464</v>
      </c>
      <c r="BI99">
        <v>2</v>
      </c>
      <c r="BJ99">
        <v>5</v>
      </c>
      <c r="BK99">
        <v>2</v>
      </c>
      <c r="BL99">
        <v>553</v>
      </c>
      <c r="BM99">
        <v>809.94805097579956</v>
      </c>
      <c r="BN99">
        <v>806.14698600000702</v>
      </c>
      <c r="BO99">
        <v>125.00560905752988</v>
      </c>
      <c r="BP99">
        <v>125.01722060812295</v>
      </c>
      <c r="BQ99">
        <v>3</v>
      </c>
      <c r="BR99">
        <v>3</v>
      </c>
      <c r="BS99">
        <v>3</v>
      </c>
      <c r="BT99">
        <v>421</v>
      </c>
      <c r="BU99">
        <v>391.05340790748596</v>
      </c>
      <c r="BV99">
        <v>389.10490000000573</v>
      </c>
      <c r="BW99">
        <v>125.00000000016246</v>
      </c>
      <c r="BX99">
        <v>125.00000000011407</v>
      </c>
      <c r="BY99">
        <v>125.00000000022308</v>
      </c>
      <c r="BZ99">
        <v>3</v>
      </c>
      <c r="CA99">
        <v>4</v>
      </c>
      <c r="CB99">
        <v>2</v>
      </c>
      <c r="CC99">
        <v>549</v>
      </c>
      <c r="CD99">
        <v>682.01827716827393</v>
      </c>
      <c r="CE99">
        <v>678.58562699999311</v>
      </c>
      <c r="CF99">
        <v>125.00023710121644</v>
      </c>
      <c r="CG99">
        <v>125.00013713057483</v>
      </c>
      <c r="CH99">
        <v>125.01499879418006</v>
      </c>
      <c r="CI99">
        <v>3</v>
      </c>
      <c r="CJ99">
        <v>5</v>
      </c>
      <c r="CK99">
        <v>3</v>
      </c>
      <c r="CL99">
        <v>735</v>
      </c>
      <c r="CM99">
        <v>1341.1324439048767</v>
      </c>
      <c r="CN99">
        <v>1333.7560900000099</v>
      </c>
      <c r="CO99">
        <v>126.62639982103542</v>
      </c>
      <c r="CP99">
        <v>127.09797343932816</v>
      </c>
      <c r="CQ99">
        <v>125.01178208316142</v>
      </c>
    </row>
    <row r="100" spans="1:95" s="8" customFormat="1" x14ac:dyDescent="0.35">
      <c r="A100">
        <v>1099</v>
      </c>
      <c r="B100">
        <v>1</v>
      </c>
      <c r="C100">
        <v>1</v>
      </c>
      <c r="D100">
        <v>3</v>
      </c>
      <c r="E100">
        <v>98</v>
      </c>
      <c r="F100">
        <v>26.423866987228394</v>
      </c>
      <c r="G100">
        <v>26.324915000004694</v>
      </c>
      <c r="H100">
        <v>125.00000000007283</v>
      </c>
      <c r="I100">
        <v>1</v>
      </c>
      <c r="J100">
        <v>2</v>
      </c>
      <c r="K100">
        <v>3</v>
      </c>
      <c r="L100">
        <v>267</v>
      </c>
      <c r="M100">
        <v>142.99883890151978</v>
      </c>
      <c r="N100">
        <v>142.1226430000097</v>
      </c>
      <c r="O100">
        <v>125.00000000010115</v>
      </c>
      <c r="P100">
        <v>1</v>
      </c>
      <c r="Q100">
        <v>3</v>
      </c>
      <c r="R100">
        <v>2</v>
      </c>
      <c r="S100">
        <v>1443</v>
      </c>
      <c r="T100">
        <v>1129.8676810264587</v>
      </c>
      <c r="U100">
        <v>1122.598553000018</v>
      </c>
      <c r="V100">
        <v>125.03872412340222</v>
      </c>
      <c r="W100">
        <v>1</v>
      </c>
      <c r="X100">
        <v>4</v>
      </c>
      <c r="Y100">
        <v>2</v>
      </c>
      <c r="Z100">
        <v>379</v>
      </c>
      <c r="AA100">
        <v>382.13821983337402</v>
      </c>
      <c r="AB100">
        <v>380.25049199999194</v>
      </c>
      <c r="AC100">
        <v>125.01243676160115</v>
      </c>
      <c r="AD100">
        <v>1</v>
      </c>
      <c r="AE100">
        <v>5</v>
      </c>
      <c r="AF100">
        <v>2</v>
      </c>
      <c r="AG100">
        <v>384</v>
      </c>
      <c r="AH100">
        <v>477.49822592735291</v>
      </c>
      <c r="AI100">
        <v>475.2838960000081</v>
      </c>
      <c r="AJ100">
        <v>125.01243676160115</v>
      </c>
      <c r="AK100">
        <v>2</v>
      </c>
      <c r="AL100">
        <v>2</v>
      </c>
      <c r="AM100">
        <v>3</v>
      </c>
      <c r="AN100">
        <v>490</v>
      </c>
      <c r="AO100">
        <v>323.45191192626953</v>
      </c>
      <c r="AP100">
        <v>321.65740099998948</v>
      </c>
      <c r="AQ100">
        <v>125.0000000000737</v>
      </c>
      <c r="AR100">
        <v>125.00000000014036</v>
      </c>
      <c r="AS100">
        <v>2</v>
      </c>
      <c r="AT100">
        <v>3</v>
      </c>
      <c r="AU100">
        <v>3</v>
      </c>
      <c r="AV100">
        <v>299</v>
      </c>
      <c r="AW100">
        <v>234.80454802513123</v>
      </c>
      <c r="AX100">
        <v>233.70413399999961</v>
      </c>
      <c r="AY100">
        <v>125.00000000013917</v>
      </c>
      <c r="AZ100">
        <v>125.00000000013235</v>
      </c>
      <c r="BA100">
        <v>2</v>
      </c>
      <c r="BB100">
        <v>4</v>
      </c>
      <c r="BC100">
        <v>3</v>
      </c>
      <c r="BD100">
        <v>618</v>
      </c>
      <c r="BE100">
        <v>693.15264892578125</v>
      </c>
      <c r="BF100">
        <v>688.05776300000434</v>
      </c>
      <c r="BG100">
        <v>125.00000000027595</v>
      </c>
      <c r="BH100">
        <v>125.00000000017933</v>
      </c>
      <c r="BI100">
        <v>2</v>
      </c>
      <c r="BJ100">
        <v>5</v>
      </c>
      <c r="BK100">
        <v>2</v>
      </c>
      <c r="BL100">
        <v>523</v>
      </c>
      <c r="BM100">
        <v>680.74582195281982</v>
      </c>
      <c r="BN100">
        <v>677.26906600000802</v>
      </c>
      <c r="BO100">
        <v>125.00046193748341</v>
      </c>
      <c r="BP100">
        <v>125.04520800389511</v>
      </c>
      <c r="BQ100">
        <v>3</v>
      </c>
      <c r="BR100">
        <v>3</v>
      </c>
      <c r="BS100">
        <v>3</v>
      </c>
      <c r="BT100">
        <v>293</v>
      </c>
      <c r="BU100">
        <v>276.49409413337708</v>
      </c>
      <c r="BV100">
        <v>274.98923200000718</v>
      </c>
      <c r="BW100">
        <v>125.000000000093</v>
      </c>
      <c r="BX100">
        <v>125.00000000013182</v>
      </c>
      <c r="BY100">
        <v>125.00000000026877</v>
      </c>
      <c r="BZ100">
        <v>3</v>
      </c>
      <c r="CA100">
        <v>4</v>
      </c>
      <c r="CB100">
        <v>2</v>
      </c>
      <c r="CC100">
        <v>30712</v>
      </c>
      <c r="CD100">
        <v>43951.022072076797</v>
      </c>
      <c r="CE100">
        <v>43697.659129000007</v>
      </c>
      <c r="CF100">
        <v>125.00000002732666</v>
      </c>
      <c r="CG100">
        <v>125.59979850144626</v>
      </c>
      <c r="CH100">
        <v>125.02444492759344</v>
      </c>
      <c r="CI100">
        <v>3</v>
      </c>
      <c r="CJ100">
        <v>5</v>
      </c>
      <c r="CK100">
        <v>3</v>
      </c>
      <c r="CL100">
        <v>654</v>
      </c>
      <c r="CM100">
        <v>1053.3732349872589</v>
      </c>
      <c r="CN100">
        <v>1048.0066750000115</v>
      </c>
      <c r="CO100">
        <v>125.00000000034663</v>
      </c>
      <c r="CP100">
        <v>125.00000000040647</v>
      </c>
      <c r="CQ100">
        <v>125.00000000030461</v>
      </c>
    </row>
    <row r="101" spans="1:95" s="8" customFormat="1" x14ac:dyDescent="0.35">
      <c r="A101">
        <v>1100</v>
      </c>
      <c r="B101">
        <v>1</v>
      </c>
      <c r="C101">
        <v>1</v>
      </c>
      <c r="D101">
        <v>3</v>
      </c>
      <c r="E101">
        <v>103</v>
      </c>
      <c r="F101">
        <v>21.061293125152588</v>
      </c>
      <c r="G101">
        <v>21.019869000010658</v>
      </c>
      <c r="H101">
        <v>125.00000000009611</v>
      </c>
      <c r="I101">
        <v>1</v>
      </c>
      <c r="J101">
        <v>2</v>
      </c>
      <c r="K101">
        <v>3</v>
      </c>
      <c r="L101">
        <v>2190</v>
      </c>
      <c r="M101">
        <v>868.02169394493103</v>
      </c>
      <c r="N101">
        <v>863.56172300002072</v>
      </c>
      <c r="O101">
        <v>125.00000000010802</v>
      </c>
      <c r="P101">
        <v>1</v>
      </c>
      <c r="Q101">
        <v>3</v>
      </c>
      <c r="R101">
        <v>3</v>
      </c>
      <c r="S101">
        <v>179</v>
      </c>
      <c r="T101">
        <v>108.37222290039063</v>
      </c>
      <c r="U101">
        <v>107.96356199998991</v>
      </c>
      <c r="V101">
        <v>125.00000000011173</v>
      </c>
      <c r="W101">
        <v>1</v>
      </c>
      <c r="X101">
        <v>4</v>
      </c>
      <c r="Y101">
        <v>3</v>
      </c>
      <c r="Z101">
        <v>277</v>
      </c>
      <c r="AA101">
        <v>220.33209085464478</v>
      </c>
      <c r="AB101">
        <v>219.41843299998436</v>
      </c>
      <c r="AC101">
        <v>125.00000000007987</v>
      </c>
      <c r="AD101">
        <v>1</v>
      </c>
      <c r="AE101">
        <v>5</v>
      </c>
      <c r="AF101">
        <v>3</v>
      </c>
      <c r="AG101">
        <v>278</v>
      </c>
      <c r="AH101">
        <v>272.6310920715332</v>
      </c>
      <c r="AI101">
        <v>271.63722699997015</v>
      </c>
      <c r="AJ101">
        <v>125.0000000000659</v>
      </c>
      <c r="AK101">
        <v>2</v>
      </c>
      <c r="AL101">
        <v>2</v>
      </c>
      <c r="AM101">
        <v>3</v>
      </c>
      <c r="AN101">
        <v>312</v>
      </c>
      <c r="AO101">
        <v>165.74108695983887</v>
      </c>
      <c r="AP101">
        <v>165.05942100001266</v>
      </c>
      <c r="AQ101">
        <v>125.00000000008693</v>
      </c>
      <c r="AR101">
        <v>125.00000000014259</v>
      </c>
      <c r="AS101">
        <v>2</v>
      </c>
      <c r="AT101">
        <v>3</v>
      </c>
      <c r="AU101">
        <v>3</v>
      </c>
      <c r="AV101">
        <v>2518</v>
      </c>
      <c r="AW101">
        <v>1995.6986529827118</v>
      </c>
      <c r="AX101">
        <v>1985.5621500000125</v>
      </c>
      <c r="AY101">
        <v>125.00000000012797</v>
      </c>
      <c r="AZ101">
        <v>125.00000000009921</v>
      </c>
      <c r="BA101">
        <v>2</v>
      </c>
      <c r="BB101">
        <v>4</v>
      </c>
      <c r="BC101">
        <v>3</v>
      </c>
      <c r="BD101">
        <v>230</v>
      </c>
      <c r="BE101">
        <v>238.97663593292236</v>
      </c>
      <c r="BF101">
        <v>238.06600799999433</v>
      </c>
      <c r="BG101">
        <v>125.00000000029695</v>
      </c>
      <c r="BH101">
        <v>125.00000000014616</v>
      </c>
      <c r="BI101">
        <v>2</v>
      </c>
      <c r="BJ101">
        <v>5</v>
      </c>
      <c r="BK101">
        <v>2</v>
      </c>
      <c r="BL101">
        <v>531</v>
      </c>
      <c r="BM101">
        <v>698.15170383453369</v>
      </c>
      <c r="BN101">
        <v>694.94885800001794</v>
      </c>
      <c r="BO101">
        <v>125.0062179899556</v>
      </c>
      <c r="BP101">
        <v>125.00363538909332</v>
      </c>
      <c r="BQ101">
        <v>3</v>
      </c>
      <c r="BR101">
        <v>3</v>
      </c>
      <c r="BS101">
        <v>3</v>
      </c>
      <c r="BT101">
        <v>1494</v>
      </c>
      <c r="BU101">
        <v>1548.3384869098663</v>
      </c>
      <c r="BV101">
        <v>1538.8434899999993</v>
      </c>
      <c r="BW101">
        <v>125.00000000008532</v>
      </c>
      <c r="BX101">
        <v>125.00000000010482</v>
      </c>
      <c r="BY101">
        <v>125.00000000017921</v>
      </c>
      <c r="BZ101">
        <v>3</v>
      </c>
      <c r="CA101">
        <v>4</v>
      </c>
      <c r="CB101">
        <v>3</v>
      </c>
      <c r="CC101">
        <v>568</v>
      </c>
      <c r="CD101">
        <v>743.28037905693054</v>
      </c>
      <c r="CE101">
        <v>739.7702949999657</v>
      </c>
      <c r="CF101">
        <v>125.00000000019796</v>
      </c>
      <c r="CG101">
        <v>125.00000000021657</v>
      </c>
      <c r="CH101">
        <v>125.0000000001771</v>
      </c>
      <c r="CI101">
        <v>3</v>
      </c>
      <c r="CJ101">
        <v>5</v>
      </c>
      <c r="CK101">
        <v>3</v>
      </c>
      <c r="CL101">
        <v>937</v>
      </c>
      <c r="CM101">
        <v>1527.7876288890839</v>
      </c>
      <c r="CN101">
        <v>1520.535222000035</v>
      </c>
      <c r="CO101">
        <v>125.00000000021399</v>
      </c>
      <c r="CP101">
        <v>125.00000000022129</v>
      </c>
      <c r="CQ101">
        <v>125.00000000011073</v>
      </c>
    </row>
    <row r="103" spans="1:95" x14ac:dyDescent="0.35">
      <c r="E103" t="s">
        <v>10</v>
      </c>
      <c r="F103">
        <f>AVERAGE(F2:F101)</f>
        <v>99.909249427318571</v>
      </c>
      <c r="G103">
        <f>AVERAGE(G2:G101)</f>
        <v>98.905904030000272</v>
      </c>
      <c r="L103" t="s">
        <v>10</v>
      </c>
      <c r="M103">
        <f>AVERAGE(M2:M101)</f>
        <v>204.80541768789291</v>
      </c>
      <c r="N103">
        <f>AVERAGE(N2:N101)</f>
        <v>203.35561613999914</v>
      </c>
      <c r="S103" t="s">
        <v>10</v>
      </c>
      <c r="T103">
        <f>AVERAGE(T2:T101)</f>
        <v>367.50041096448899</v>
      </c>
      <c r="U103">
        <f>AVERAGE(U2:U101)</f>
        <v>364.4614231099996</v>
      </c>
      <c r="Z103" t="s">
        <v>10</v>
      </c>
      <c r="AA103">
        <f>AVERAGE(AA2:AA101)</f>
        <v>462.66458096265791</v>
      </c>
      <c r="AB103">
        <f>AVERAGE(AB2:AB101)</f>
        <v>459.21788822999997</v>
      </c>
      <c r="AG103" t="s">
        <v>10</v>
      </c>
      <c r="AH103">
        <f>AVERAGE(AH2:AH101)</f>
        <v>729.71600783586507</v>
      </c>
      <c r="AI103">
        <f>AVERAGE(AI2:AI101)</f>
        <v>723.83250338999972</v>
      </c>
      <c r="AN103" t="s">
        <v>10</v>
      </c>
      <c r="AO103">
        <f>AVERAGE(AO2:AO101)</f>
        <v>321.72914438009263</v>
      </c>
      <c r="AP103">
        <f>AVERAGE(AP2:AP101)</f>
        <v>319.24449167000091</v>
      </c>
      <c r="AV103" t="s">
        <v>10</v>
      </c>
      <c r="AW103">
        <f>AVERAGE(AW2:AW101)</f>
        <v>1585.4658593320846</v>
      </c>
      <c r="AX103">
        <f>AVERAGE(AX2:AX101)</f>
        <v>1570.0644712499995</v>
      </c>
      <c r="BD103" t="s">
        <v>10</v>
      </c>
      <c r="BE103">
        <f>AVERAGE(BE2:BE101)</f>
        <v>956.14206417083744</v>
      </c>
      <c r="BF103">
        <f>AVERAGE(BF2:BF101)</f>
        <v>949.41203547000032</v>
      </c>
      <c r="BL103" t="s">
        <v>10</v>
      </c>
      <c r="BM103">
        <f>AVERAGE(BM2:BM101)</f>
        <v>915.49903965950011</v>
      </c>
      <c r="BN103">
        <f>AVERAGE(BN2:BN101)</f>
        <v>908.58823394000001</v>
      </c>
      <c r="BS103" t="s">
        <v>10</v>
      </c>
      <c r="BT103" t="s">
        <v>10</v>
      </c>
      <c r="BU103">
        <f>AVERAGE(BU2:BU101)</f>
        <v>817.09253066778183</v>
      </c>
      <c r="BV103">
        <f>AVERAGE(BV2:BV101)</f>
        <v>811.4841683100002</v>
      </c>
      <c r="CB103" t="s">
        <v>10</v>
      </c>
      <c r="CC103" t="s">
        <v>10</v>
      </c>
      <c r="CD103">
        <f>AVERAGE(CD2:CD101)</f>
        <v>2416.466632347107</v>
      </c>
      <c r="CE103">
        <f>AVERAGE(CE2:CE101)</f>
        <v>2398.5662871199993</v>
      </c>
      <c r="CK103" t="s">
        <v>10</v>
      </c>
      <c r="CL103" t="s">
        <v>10</v>
      </c>
      <c r="CM103">
        <f>AVERAGE(CM2:CM101)</f>
        <v>1619.0178857588769</v>
      </c>
      <c r="CN103">
        <f>AVERAGE(CN2:CN101)</f>
        <v>1607.7007379000015</v>
      </c>
    </row>
    <row r="104" spans="1:95" x14ac:dyDescent="0.35">
      <c r="E104" t="s">
        <v>9</v>
      </c>
      <c r="F104">
        <f>_xlfn.STDEV.P(F2:F101)</f>
        <v>159.92535336264706</v>
      </c>
      <c r="G104">
        <f>_xlfn.STDEV.P(G2:G101)</f>
        <v>157.68610560278017</v>
      </c>
      <c r="L104" t="s">
        <v>9</v>
      </c>
      <c r="M104">
        <f>_xlfn.STDEV.P(M2:M101)</f>
        <v>251.35912373602713</v>
      </c>
      <c r="N104">
        <f>_xlfn.STDEV.P(N2:N101)</f>
        <v>249.9178015713197</v>
      </c>
      <c r="S104" t="s">
        <v>9</v>
      </c>
      <c r="T104">
        <f>_xlfn.STDEV.P(T2:T101)</f>
        <v>521.78544879731112</v>
      </c>
      <c r="U104">
        <f>_xlfn.STDEV.P(U2:U101)</f>
        <v>517.96560928381359</v>
      </c>
      <c r="Z104" t="s">
        <v>9</v>
      </c>
      <c r="AA104">
        <f>_xlfn.STDEV.P(AA2:AA101)</f>
        <v>652.79434281998556</v>
      </c>
      <c r="AB104">
        <f>_xlfn.STDEV.P(AB2:AB101)</f>
        <v>648.90103340284384</v>
      </c>
      <c r="AG104" t="s">
        <v>9</v>
      </c>
      <c r="AH104">
        <f>_xlfn.STDEV.P(AH2:AH101)</f>
        <v>1060.1387396329553</v>
      </c>
      <c r="AI104">
        <f>_xlfn.STDEV.P(AI2:AI101)</f>
        <v>1050.0650973743398</v>
      </c>
      <c r="AN104" t="s">
        <v>9</v>
      </c>
      <c r="AO104">
        <f>_xlfn.STDEV.P(AO2:AO101)</f>
        <v>283.15266481427494</v>
      </c>
      <c r="AP104">
        <f>_xlfn.STDEV.P(AP2:AP101)</f>
        <v>281.2248354750364</v>
      </c>
      <c r="AV104" t="s">
        <v>9</v>
      </c>
      <c r="AW104">
        <f>_xlfn.STDEV.P(AW2:AW101)</f>
        <v>5360.4549402071916</v>
      </c>
      <c r="AX104">
        <f>_xlfn.STDEV.P(AX2:AX101)</f>
        <v>5302.9586177406245</v>
      </c>
      <c r="BD104" t="s">
        <v>9</v>
      </c>
      <c r="BE104">
        <f>_xlfn.STDEV.P(BE2:BE101)</f>
        <v>3021.3938441377481</v>
      </c>
      <c r="BF104">
        <f>_xlfn.STDEV.P(BF2:BF101)</f>
        <v>3005.2216690268228</v>
      </c>
      <c r="BL104" t="s">
        <v>9</v>
      </c>
      <c r="BM104">
        <f>_xlfn.STDEV.P(BM2:BM101)</f>
        <v>746.00641015052054</v>
      </c>
      <c r="BN104">
        <f>_xlfn.STDEV.P(BN2:BN101)</f>
        <v>741.18153813786273</v>
      </c>
      <c r="BS104" t="s">
        <v>9</v>
      </c>
      <c r="BT104" t="s">
        <v>9</v>
      </c>
      <c r="BU104">
        <f>_xlfn.STDEV.P(BU2:BU101)</f>
        <v>601.4187852225657</v>
      </c>
      <c r="BV104">
        <f>_xlfn.STDEV.P(BV2:BV101)</f>
        <v>598.3259632204514</v>
      </c>
      <c r="CB104" t="s">
        <v>9</v>
      </c>
      <c r="CC104" t="s">
        <v>9</v>
      </c>
      <c r="CD104">
        <f>_xlfn.STDEV.P(CD2:CD101)</f>
        <v>7264.7273899676538</v>
      </c>
      <c r="CE104">
        <f>_xlfn.STDEV.P(CE2:CE101)</f>
        <v>7210.3072603702713</v>
      </c>
      <c r="CK104" t="s">
        <v>9</v>
      </c>
      <c r="CL104" t="s">
        <v>9</v>
      </c>
      <c r="CM104">
        <f>_xlfn.STDEV.P(CM2:CM101)</f>
        <v>4547.9810911958302</v>
      </c>
      <c r="CN104">
        <f>_xlfn.STDEV.P(CN2:CN101)</f>
        <v>4519.0281928301174</v>
      </c>
    </row>
    <row r="105" spans="1:95" x14ac:dyDescent="0.35">
      <c r="E105" t="s">
        <v>8</v>
      </c>
      <c r="F105">
        <f>MIN(F2:F101)</f>
        <v>7.4879810810089111</v>
      </c>
      <c r="G105">
        <f>MIN(G2:G101)</f>
        <v>7.50475699999879</v>
      </c>
      <c r="L105" t="s">
        <v>8</v>
      </c>
      <c r="M105">
        <f>MIN(M2:M101)</f>
        <v>23.36510705947876</v>
      </c>
      <c r="N105">
        <f>MIN(N2:N101)</f>
        <v>23.36587999999756</v>
      </c>
      <c r="S105" t="s">
        <v>8</v>
      </c>
      <c r="T105">
        <f>MIN(T2:T101)</f>
        <v>28.779093980789185</v>
      </c>
      <c r="U105">
        <f>MIN(U2:U101)</f>
        <v>28.676102000001265</v>
      </c>
      <c r="Z105" t="s">
        <v>8</v>
      </c>
      <c r="AA105">
        <f>MIN(AA2:AA101)</f>
        <v>52.171753883361816</v>
      </c>
      <c r="AB105">
        <f>MIN(AB2:AB101)</f>
        <v>52.142300999999861</v>
      </c>
      <c r="AG105" t="s">
        <v>8</v>
      </c>
      <c r="AH105">
        <f>MIN(AH2:AH101)</f>
        <v>77.039902925491333</v>
      </c>
      <c r="AI105">
        <f>MIN(AI2:AI101)</f>
        <v>76.929245999999694</v>
      </c>
      <c r="AN105" t="s">
        <v>8</v>
      </c>
      <c r="AO105">
        <f>MIN(AO2:AO101)</f>
        <v>68.835732936859131</v>
      </c>
      <c r="AP105">
        <f>MIN(AP2:AP101)</f>
        <v>68.611082999996142</v>
      </c>
      <c r="AV105" t="s">
        <v>8</v>
      </c>
      <c r="AW105">
        <f>MIN(AW2:AW101)</f>
        <v>71.675092935562134</v>
      </c>
      <c r="AX105">
        <f>MIN(AX2:AX101)</f>
        <v>71.531768000000739</v>
      </c>
      <c r="BD105" t="s">
        <v>8</v>
      </c>
      <c r="BE105">
        <f>MIN(BE2:BE101)</f>
        <v>157.73307204246521</v>
      </c>
      <c r="BF105">
        <f>MIN(BF2:BF101)</f>
        <v>157.18320200000016</v>
      </c>
      <c r="BL105" t="s">
        <v>8</v>
      </c>
      <c r="BM105">
        <f>MIN(BM2:BM101)</f>
        <v>248.9054811000824</v>
      </c>
      <c r="BN105">
        <f>MIN(BN2:BN101)</f>
        <v>248.35660500000813</v>
      </c>
      <c r="BS105" t="s">
        <v>8</v>
      </c>
      <c r="BT105" t="s">
        <v>8</v>
      </c>
      <c r="BU105">
        <f>MIN(BU2:BU101)</f>
        <v>249.64955282211304</v>
      </c>
      <c r="BV105">
        <f>MIN(BV2:BV101)</f>
        <v>248.84686499999225</v>
      </c>
      <c r="CB105" t="s">
        <v>8</v>
      </c>
      <c r="CC105" t="s">
        <v>8</v>
      </c>
      <c r="CD105">
        <f>MIN(CD2:CD101)</f>
        <v>327.41468906402588</v>
      </c>
      <c r="CE105">
        <f>MIN(CE2:CE101)</f>
        <v>325.97763900000427</v>
      </c>
      <c r="CK105" t="s">
        <v>8</v>
      </c>
      <c r="CL105" t="s">
        <v>8</v>
      </c>
      <c r="CM105">
        <f>MIN(CM2:CM101)</f>
        <v>333.97236394882202</v>
      </c>
      <c r="CN105">
        <f>MIN(CN2:CN101)</f>
        <v>332.75979499999085</v>
      </c>
    </row>
    <row r="106" spans="1:95" x14ac:dyDescent="0.35">
      <c r="E106" t="s">
        <v>11</v>
      </c>
      <c r="F106">
        <f>_xlfn.QUARTILE.INC(F2:F101, 1)</f>
        <v>32.24496853351593</v>
      </c>
      <c r="G106">
        <f>_xlfn.QUARTILE.INC(G2:G101, 1)</f>
        <v>32.210886000002574</v>
      </c>
      <c r="L106" t="s">
        <v>11</v>
      </c>
      <c r="M106">
        <f>_xlfn.QUARTILE.INC(M2:M101, 1)</f>
        <v>71.97755891084671</v>
      </c>
      <c r="N106">
        <f>_xlfn.QUARTILE.INC(N2:N101, 1)</f>
        <v>71.755111249992751</v>
      </c>
      <c r="S106" t="s">
        <v>11</v>
      </c>
      <c r="T106">
        <f>_xlfn.QUARTILE.INC(T2:T101, 1)</f>
        <v>144.22159731388092</v>
      </c>
      <c r="U106">
        <f>_xlfn.QUARTILE.INC(U2:U101, 1)</f>
        <v>143.51178525000068</v>
      </c>
      <c r="Z106" t="s">
        <v>11</v>
      </c>
      <c r="AA106">
        <f>_xlfn.QUARTILE.INC(AA2:AA101, 1)</f>
        <v>217.6815510392189</v>
      </c>
      <c r="AB106">
        <f>_xlfn.QUARTILE.INC(AB2:AB101, 1)</f>
        <v>216.96623825000461</v>
      </c>
      <c r="AG106" t="s">
        <v>11</v>
      </c>
      <c r="AH106">
        <f>_xlfn.QUARTILE.INC(AH2:AH101, 1)</f>
        <v>291.02714449167252</v>
      </c>
      <c r="AI106">
        <f>_xlfn.QUARTILE.INC(AI2:AI101, 1)</f>
        <v>289.85901100000592</v>
      </c>
      <c r="AN106" t="s">
        <v>11</v>
      </c>
      <c r="AO106">
        <f>_xlfn.QUARTILE.INC(AO2:AO101, 1)</f>
        <v>162.5687934756279</v>
      </c>
      <c r="AP106">
        <f>_xlfn.QUARTILE.INC(AP2:AP101, 1)</f>
        <v>161.49711074999141</v>
      </c>
      <c r="AV106" t="s">
        <v>11</v>
      </c>
      <c r="AW106">
        <f>_xlfn.QUARTILE.INC(AW2:AW101, 1)</f>
        <v>283.07883989810944</v>
      </c>
      <c r="AX106">
        <f>_xlfn.QUARTILE.INC(AX2:AX101, 1)</f>
        <v>282.10717175000173</v>
      </c>
      <c r="BD106" t="s">
        <v>11</v>
      </c>
      <c r="BE106">
        <f>_xlfn.QUARTILE.INC(BE2:BE101, 1)</f>
        <v>388.95144975185394</v>
      </c>
      <c r="BF106">
        <f>_xlfn.QUARTILE.INC(BF2:BF101, 1)</f>
        <v>387.36369300001024</v>
      </c>
      <c r="BL106" t="s">
        <v>11</v>
      </c>
      <c r="BM106">
        <f>_xlfn.QUARTILE.INC(BM2:BM101, 1)</f>
        <v>532.8010488152504</v>
      </c>
      <c r="BN106">
        <f>_xlfn.QUARTILE.INC(BN2:BN101, 1)</f>
        <v>529.12103474999094</v>
      </c>
      <c r="BS106" t="s">
        <v>11</v>
      </c>
      <c r="BT106" t="s">
        <v>11</v>
      </c>
      <c r="BU106">
        <f>_xlfn.QUARTILE.INC(BU2:BU101, 1)</f>
        <v>397.53511357307434</v>
      </c>
      <c r="BV106">
        <f>_xlfn.QUARTILE.INC(BV2:BV101, 1)</f>
        <v>394.93270624999923</v>
      </c>
      <c r="CB106" t="s">
        <v>11</v>
      </c>
      <c r="CC106" t="s">
        <v>11</v>
      </c>
      <c r="CD106">
        <f>_xlfn.QUARTILE.INC(CD2:CD101, 1)</f>
        <v>591.6661975979805</v>
      </c>
      <c r="CE106">
        <f>_xlfn.QUARTILE.INC(CE2:CE101, 1)</f>
        <v>583.09063300000003</v>
      </c>
      <c r="CK106" t="s">
        <v>11</v>
      </c>
      <c r="CL106" t="s">
        <v>11</v>
      </c>
      <c r="CM106">
        <f>_xlfn.QUARTILE.INC(CM2:CM101, 1)</f>
        <v>670.91260665655136</v>
      </c>
      <c r="CN106">
        <f>_xlfn.QUARTILE.INC(CN2:CN101, 1)</f>
        <v>667.1823197500089</v>
      </c>
    </row>
    <row r="107" spans="1:95" x14ac:dyDescent="0.35">
      <c r="E107" t="s">
        <v>12</v>
      </c>
      <c r="F107">
        <f>_xlfn.QUARTILE.INC(F2:F101,2)</f>
        <v>56.174865365028381</v>
      </c>
      <c r="G107">
        <f>_xlfn.QUARTILE.INC(G2:G101,2)</f>
        <v>55.804371500009438</v>
      </c>
      <c r="L107" t="s">
        <v>12</v>
      </c>
      <c r="M107">
        <f>_xlfn.QUARTILE.INC(M2:M101,2)</f>
        <v>127.26063644886017</v>
      </c>
      <c r="N107">
        <f>_xlfn.QUARTILE.INC(N2:N101,2)</f>
        <v>126.53385449999405</v>
      </c>
      <c r="S107" t="s">
        <v>12</v>
      </c>
      <c r="T107">
        <f>_xlfn.QUARTILE.INC(T2:T101,2)</f>
        <v>211.82183301448822</v>
      </c>
      <c r="U107">
        <f>_xlfn.QUARTILE.INC(U2:U101,2)</f>
        <v>209.88450450000528</v>
      </c>
      <c r="Z107" t="s">
        <v>12</v>
      </c>
      <c r="AA107">
        <f>_xlfn.QUARTILE.INC(AA2:AA101,2)</f>
        <v>301.28252589702606</v>
      </c>
      <c r="AB107">
        <f>_xlfn.QUARTILE.INC(AB2:AB101,2)</f>
        <v>299.40912649999973</v>
      </c>
      <c r="AG107" t="s">
        <v>12</v>
      </c>
      <c r="AH107">
        <f>_xlfn.QUARTILE.INC(AH2:AH101,2)</f>
        <v>398.28403997421265</v>
      </c>
      <c r="AI107">
        <f>_xlfn.QUARTILE.INC(AI2:AI101,2)</f>
        <v>396.48625000000175</v>
      </c>
      <c r="AN107" t="s">
        <v>12</v>
      </c>
      <c r="AO107">
        <f>_xlfn.QUARTILE.INC(AO2:AO101,2)</f>
        <v>216.9812034368515</v>
      </c>
      <c r="AP107">
        <f>_xlfn.QUARTILE.INC(AP2:AP101,2)</f>
        <v>216.09951899999942</v>
      </c>
      <c r="AV107" t="s">
        <v>12</v>
      </c>
      <c r="AW107">
        <f>_xlfn.QUARTILE.INC(AW2:AW101,2)</f>
        <v>363.36839354038239</v>
      </c>
      <c r="AX107">
        <f>_xlfn.QUARTILE.INC(AX2:AX101,2)</f>
        <v>359.57363350000378</v>
      </c>
      <c r="BD107" t="s">
        <v>12</v>
      </c>
      <c r="BE107">
        <f>_xlfn.QUARTILE.INC(BE2:BE101,2)</f>
        <v>517.62901151180267</v>
      </c>
      <c r="BF107">
        <f>_xlfn.QUARTILE.INC(BF2:BF101,2)</f>
        <v>507.74979899999767</v>
      </c>
      <c r="BL107" t="s">
        <v>12</v>
      </c>
      <c r="BM107">
        <f>_xlfn.QUARTILE.INC(BM2:BM101,2)</f>
        <v>680.86078894138336</v>
      </c>
      <c r="BN107">
        <f>_xlfn.QUARTILE.INC(BN2:BN101,2)</f>
        <v>671.99726750000104</v>
      </c>
      <c r="BS107" t="s">
        <v>12</v>
      </c>
      <c r="BT107" t="s">
        <v>12</v>
      </c>
      <c r="BU107">
        <f>_xlfn.QUARTILE.INC(BU2:BU101,2)</f>
        <v>604.58988559246063</v>
      </c>
      <c r="BV107">
        <f>_xlfn.QUARTILE.INC(BV2:BV101,2)</f>
        <v>598.09961600000861</v>
      </c>
      <c r="CB107" t="s">
        <v>12</v>
      </c>
      <c r="CC107" t="s">
        <v>12</v>
      </c>
      <c r="CD107">
        <f>_xlfn.QUARTILE.INC(CD2:CD101,2)</f>
        <v>739.44537496566772</v>
      </c>
      <c r="CE107">
        <f>_xlfn.QUARTILE.INC(CE2:CE101,2)</f>
        <v>734.24956350000139</v>
      </c>
      <c r="CK107" t="s">
        <v>12</v>
      </c>
      <c r="CL107" t="s">
        <v>12</v>
      </c>
      <c r="CM107">
        <f>_xlfn.QUARTILE.INC(CM2:CM101,2)</f>
        <v>852.01571691036224</v>
      </c>
      <c r="CN107">
        <f>_xlfn.QUARTILE.INC(CN2:CN101,2)</f>
        <v>841.67060450000099</v>
      </c>
    </row>
    <row r="108" spans="1:95" x14ac:dyDescent="0.35">
      <c r="E108" t="s">
        <v>13</v>
      </c>
      <c r="F108">
        <f>_xlfn.QUARTILE.INC(F2:F101,3)</f>
        <v>87.950720012187958</v>
      </c>
      <c r="G108">
        <f>_xlfn.QUARTILE.INC(G2:G101,3)</f>
        <v>86.929732249994686</v>
      </c>
      <c r="L108" t="s">
        <v>13</v>
      </c>
      <c r="M108">
        <f>_xlfn.QUARTILE.INC(M2:M101,3)</f>
        <v>210.35743314027786</v>
      </c>
      <c r="N108">
        <f>_xlfn.QUARTILE.INC(N2:N101,3)</f>
        <v>209.01088449999929</v>
      </c>
      <c r="S108" t="s">
        <v>13</v>
      </c>
      <c r="T108">
        <f>_xlfn.QUARTILE.INC(T2:T101,3)</f>
        <v>327.07203322649002</v>
      </c>
      <c r="U108">
        <f>_xlfn.QUARTILE.INC(U2:U101,3)</f>
        <v>324.86707924999791</v>
      </c>
      <c r="Z108" t="s">
        <v>13</v>
      </c>
      <c r="AA108">
        <f>_xlfn.QUARTILE.INC(AA2:AA101,3)</f>
        <v>415.91443085670471</v>
      </c>
      <c r="AB108">
        <f>_xlfn.QUARTILE.INC(AB2:AB101,3)</f>
        <v>413.88925649999328</v>
      </c>
      <c r="AG108" t="s">
        <v>13</v>
      </c>
      <c r="AH108">
        <f>_xlfn.QUARTILE.INC(AH2:AH101,3)</f>
        <v>609.3001965880394</v>
      </c>
      <c r="AI108">
        <f>_xlfn.QUARTILE.INC(AI2:AI101,3)</f>
        <v>605.92540750000444</v>
      </c>
      <c r="AN108" t="s">
        <v>13</v>
      </c>
      <c r="AO108">
        <f>_xlfn.QUARTILE.INC(AO2:AO101,3)</f>
        <v>340.14492684602737</v>
      </c>
      <c r="AP108">
        <f>_xlfn.QUARTILE.INC(AP2:AP101,3)</f>
        <v>337.24467424999943</v>
      </c>
      <c r="AV108" t="s">
        <v>13</v>
      </c>
      <c r="AW108">
        <f>_xlfn.QUARTILE.INC(AW2:AW101,3)</f>
        <v>511.10484021902084</v>
      </c>
      <c r="AX108">
        <f>_xlfn.QUARTILE.INC(AX2:AX101,3)</f>
        <v>506.59470075000172</v>
      </c>
      <c r="BD108" t="s">
        <v>13</v>
      </c>
      <c r="BE108">
        <f>_xlfn.QUARTILE.INC(BE2:BE101,3)</f>
        <v>756.99837809801102</v>
      </c>
      <c r="BF108">
        <f>_xlfn.QUARTILE.INC(BF2:BF101,3)</f>
        <v>748.36342450000211</v>
      </c>
      <c r="BL108" t="s">
        <v>13</v>
      </c>
      <c r="BM108">
        <f>_xlfn.QUARTILE.INC(BM2:BM101,3)</f>
        <v>918.39385420084</v>
      </c>
      <c r="BN108">
        <f>_xlfn.QUARTILE.INC(BN2:BN101,3)</f>
        <v>911.15832975000058</v>
      </c>
      <c r="BS108" t="s">
        <v>13</v>
      </c>
      <c r="BT108" t="s">
        <v>13</v>
      </c>
      <c r="BU108">
        <f>_xlfn.QUARTILE.INC(BU2:BU101,3)</f>
        <v>962.90250432491302</v>
      </c>
      <c r="BV108">
        <f>_xlfn.QUARTILE.INC(BV2:BV101,3)</f>
        <v>956.47637749999649</v>
      </c>
      <c r="CB108" t="s">
        <v>13</v>
      </c>
      <c r="CC108" t="s">
        <v>13</v>
      </c>
      <c r="CD108">
        <f>_xlfn.QUARTILE.INC(CD2:CD101,3)</f>
        <v>1344.6949249505997</v>
      </c>
      <c r="CE108">
        <f>_xlfn.QUARTILE.INC(CE2:CE101,3)</f>
        <v>1333.5083127500056</v>
      </c>
      <c r="CK108" t="s">
        <v>13</v>
      </c>
      <c r="CL108" t="s">
        <v>13</v>
      </c>
      <c r="CM108">
        <f>_xlfn.QUARTILE.INC(CM2:CM101,3)</f>
        <v>1269.0355554819107</v>
      </c>
      <c r="CN108">
        <f>_xlfn.QUARTILE.INC(CN2:CN101,3)</f>
        <v>1261.8800480000027</v>
      </c>
    </row>
    <row r="109" spans="1:95" x14ac:dyDescent="0.35">
      <c r="E109" t="s">
        <v>14</v>
      </c>
      <c r="F109">
        <f>MAX(F2:F101)</f>
        <v>1059.4206869602203</v>
      </c>
      <c r="G109">
        <f>MAX(G2:G101)</f>
        <v>1046.9056449999998</v>
      </c>
      <c r="L109" t="s">
        <v>14</v>
      </c>
      <c r="M109">
        <f>MAX(M2:M101)</f>
        <v>1558.6223108768463</v>
      </c>
      <c r="N109">
        <f>MAX(N2:N101)</f>
        <v>1552.8112169999986</v>
      </c>
      <c r="S109" t="s">
        <v>14</v>
      </c>
      <c r="T109">
        <f>MAX(T2:T101)</f>
        <v>3416.7297630310059</v>
      </c>
      <c r="U109">
        <f>MAX(U2:U101)</f>
        <v>3387.0938649999989</v>
      </c>
      <c r="Z109" t="s">
        <v>14</v>
      </c>
      <c r="AA109">
        <f>MAX(AA2:AA101)</f>
        <v>4944.1651499271393</v>
      </c>
      <c r="AB109">
        <f>MAX(AB2:AB101)</f>
        <v>4925.9897670000064</v>
      </c>
      <c r="AG109" t="s">
        <v>14</v>
      </c>
      <c r="AH109">
        <f>MAX(AH2:AH101)</f>
        <v>7083.4841828346252</v>
      </c>
      <c r="AI109">
        <f>MAX(AI2:AI101)</f>
        <v>7000.7289159999982</v>
      </c>
      <c r="AN109" t="s">
        <v>14</v>
      </c>
      <c r="AO109">
        <f>MAX(AO2:AO101)</f>
        <v>1684.1767008304596</v>
      </c>
      <c r="AP109">
        <f>MAX(AP2:AP101)</f>
        <v>1672.7665220000017</v>
      </c>
      <c r="AV109" t="s">
        <v>14</v>
      </c>
      <c r="AW109">
        <f>MAX(AW2:AW101)</f>
        <v>28779.801987171173</v>
      </c>
      <c r="AX109">
        <f>MAX(AX2:AX101)</f>
        <v>28465.320723999997</v>
      </c>
      <c r="BD109" t="s">
        <v>14</v>
      </c>
      <c r="BE109">
        <f>MAX(BE2:BE101)</f>
        <v>30582.053279161453</v>
      </c>
      <c r="BF109">
        <f>MAX(BF2:BF101)</f>
        <v>30417.738068000021</v>
      </c>
      <c r="BL109" t="s">
        <v>14</v>
      </c>
      <c r="BM109">
        <f>MAX(BM2:BM101)</f>
        <v>4600.9534518718719</v>
      </c>
      <c r="BN109">
        <f>MAX(BN2:BN101)</f>
        <v>4570.2338389999859</v>
      </c>
      <c r="BS109" t="s">
        <v>14</v>
      </c>
      <c r="BT109" t="s">
        <v>14</v>
      </c>
      <c r="BU109">
        <f>MAX(BU2:BU101)</f>
        <v>3276.880744934082</v>
      </c>
      <c r="BV109">
        <f>MAX(BV2:BV101)</f>
        <v>3262.5878209999973</v>
      </c>
      <c r="CB109" t="s">
        <v>14</v>
      </c>
      <c r="CC109" t="s">
        <v>14</v>
      </c>
      <c r="CD109">
        <f>MAX(CD2:CD101)</f>
        <v>45868.141952991486</v>
      </c>
      <c r="CE109">
        <f>MAX(CE2:CE101)</f>
        <v>45430.632296000011</v>
      </c>
      <c r="CK109" t="s">
        <v>14</v>
      </c>
      <c r="CL109" t="s">
        <v>14</v>
      </c>
      <c r="CM109">
        <f>MAX(CM2:CM101)</f>
        <v>45614.913835048676</v>
      </c>
      <c r="CN109">
        <f>MAX(CN2:CN101)</f>
        <v>45326.443585000001</v>
      </c>
    </row>
    <row r="110" spans="1:95" x14ac:dyDescent="0.35">
      <c r="E110" t="s">
        <v>33</v>
      </c>
      <c r="F110">
        <f>COUNTIF(F2:F101,"&gt;760")</f>
        <v>2</v>
      </c>
      <c r="G110">
        <f>COUNTIF(G2:G101,"&gt;760")</f>
        <v>2</v>
      </c>
      <c r="L110" t="s">
        <v>33</v>
      </c>
      <c r="M110">
        <f>COUNTIF(M2:M101,"&gt;760")</f>
        <v>6</v>
      </c>
      <c r="N110">
        <f>COUNTIF(N2:N101,"&gt;760")</f>
        <v>6</v>
      </c>
      <c r="S110" t="s">
        <v>33</v>
      </c>
      <c r="T110">
        <f>COUNTIF(T2:T101,"&gt;760")</f>
        <v>10</v>
      </c>
      <c r="U110">
        <f>COUNTIF(U2:U101,"&gt;760")</f>
        <v>10</v>
      </c>
      <c r="Z110" t="s">
        <v>33</v>
      </c>
      <c r="AA110">
        <f>COUNTIF(AA2:AA101,"&gt;760")</f>
        <v>10</v>
      </c>
      <c r="AB110">
        <f>COUNTIF(AB2:AB101,"&gt;760")</f>
        <v>10</v>
      </c>
      <c r="AG110" t="s">
        <v>33</v>
      </c>
      <c r="AH110">
        <f>COUNTIF(AH2:AH101,"&gt;760")</f>
        <v>22</v>
      </c>
      <c r="AI110">
        <f>COUNTIF(AI2:AI101,"&gt;760")</f>
        <v>22</v>
      </c>
      <c r="AN110" t="s">
        <v>33</v>
      </c>
      <c r="AO110">
        <f>COUNTIF(AO2:AO101,"&gt;760")</f>
        <v>8</v>
      </c>
      <c r="AP110">
        <f>COUNTIF(AP2:AP101,"&gt;760")</f>
        <v>8</v>
      </c>
      <c r="AV110" t="s">
        <v>33</v>
      </c>
      <c r="AW110">
        <f>COUNTIF(AW2:AW101,"&gt;760")</f>
        <v>15</v>
      </c>
      <c r="AX110">
        <f>COUNTIF(AX2:AX101,"&gt;760")</f>
        <v>14</v>
      </c>
      <c r="BD110" t="s">
        <v>33</v>
      </c>
      <c r="BE110">
        <f>COUNTIF(BE2:BE101,"&gt;760")</f>
        <v>25</v>
      </c>
      <c r="BF110">
        <f>COUNTIF(BF2:BF101,"&gt;760")</f>
        <v>24</v>
      </c>
      <c r="BL110" t="s">
        <v>33</v>
      </c>
      <c r="BM110">
        <f>COUNTIF(BM2:BM101,"&gt;760")</f>
        <v>40</v>
      </c>
      <c r="BN110">
        <f>COUNTIF(BN2:BN101,"&gt;760")</f>
        <v>40</v>
      </c>
      <c r="BT110" t="s">
        <v>33</v>
      </c>
      <c r="BU110">
        <f>COUNTIF(BU2:BU101,"&gt;760")</f>
        <v>40</v>
      </c>
      <c r="BV110">
        <f>COUNTIF(BV2:BV101,"&gt;760")</f>
        <v>40</v>
      </c>
      <c r="CC110" t="s">
        <v>33</v>
      </c>
      <c r="CD110">
        <f>COUNTIF(CD2:CD101,"&gt;760")</f>
        <v>48</v>
      </c>
      <c r="CE110">
        <f>COUNTIF(CE2:CE101,"&gt;760")</f>
        <v>48</v>
      </c>
      <c r="CL110" t="s">
        <v>33</v>
      </c>
      <c r="CM110">
        <f>COUNTIF(CM2:CM101,"&gt;760")</f>
        <v>61</v>
      </c>
      <c r="CN110">
        <f>COUNTIF(CN2:CN101,"&gt;760")</f>
        <v>60</v>
      </c>
    </row>
    <row r="112" spans="1:95" x14ac:dyDescent="0.35">
      <c r="G112" t="s">
        <v>24</v>
      </c>
      <c r="H112">
        <f ca="1">COUNTIF(H2:H141, "&lt;125.1")</f>
        <v>94</v>
      </c>
      <c r="N112" t="s">
        <v>24</v>
      </c>
      <c r="O112">
        <f ca="1">COUNTIF(O2:O141, "&lt;125.1")</f>
        <v>93</v>
      </c>
      <c r="U112" t="s">
        <v>24</v>
      </c>
      <c r="V112">
        <f ca="1">COUNTIF(V2:V141, "&lt;125.1")</f>
        <v>93</v>
      </c>
      <c r="AB112" t="s">
        <v>24</v>
      </c>
      <c r="AC112">
        <f ca="1">COUNTIF(AC2:AC141, "&lt;125.1")</f>
        <v>90</v>
      </c>
      <c r="AI112" t="s">
        <v>24</v>
      </c>
      <c r="AJ112">
        <f ca="1">COUNTIF(AJ2:AJ141, "&lt;125.1")</f>
        <v>92</v>
      </c>
      <c r="AP112" t="s">
        <v>24</v>
      </c>
      <c r="AQ112">
        <f ca="1">COUNTIF(AQ2:AQ141, "&lt;125.1")</f>
        <v>92</v>
      </c>
      <c r="AR112">
        <f ca="1">COUNTIF(AR2:AR141, "&lt;125.1")</f>
        <v>92</v>
      </c>
      <c r="AX112" t="s">
        <v>24</v>
      </c>
      <c r="AY112">
        <f ca="1">COUNTIF(AY2:AY141, "&lt;125.1")</f>
        <v>68</v>
      </c>
      <c r="AZ112">
        <f ca="1">COUNTIF(AZ2:AZ141, "&lt;125.1")</f>
        <v>90</v>
      </c>
      <c r="BF112" t="s">
        <v>24</v>
      </c>
      <c r="BG112">
        <f ca="1">COUNTIF(BG2:BG141, "&lt;125.1")</f>
        <v>44</v>
      </c>
      <c r="BH112">
        <f ca="1">COUNTIF(BH2:BH141, "&lt;125.1")</f>
        <v>93</v>
      </c>
      <c r="BN112" t="s">
        <v>24</v>
      </c>
      <c r="BO112">
        <f ca="1">COUNTIF(BO2:BO141, "&lt;125.1")</f>
        <v>34</v>
      </c>
      <c r="BP112">
        <f ca="1">COUNTIF(BP2:BP141, "&lt;125.1")</f>
        <v>91</v>
      </c>
      <c r="BV112" t="s">
        <v>24</v>
      </c>
      <c r="BW112">
        <f ca="1">COUNTIF(BW2:BW141, "&lt;125.1")</f>
        <v>90</v>
      </c>
      <c r="BX112">
        <f ca="1">COUNTIF(BX2:BX141, "&lt;125.1")</f>
        <v>75</v>
      </c>
      <c r="BY112">
        <f ca="1">COUNTIF(BY2:BY141, "&lt;125.1")</f>
        <v>62</v>
      </c>
      <c r="CE112" t="s">
        <v>24</v>
      </c>
      <c r="CF112">
        <f ca="1">COUNTIF(CF2:CF141, "&lt;125.1")</f>
        <v>63</v>
      </c>
      <c r="CG112">
        <f ca="1">COUNTIF(CG2:CG141, "&lt;125.1")</f>
        <v>63</v>
      </c>
      <c r="CH112">
        <f ca="1">COUNTIF(CH2:CH141, "&lt;125.1")</f>
        <v>90</v>
      </c>
      <c r="CN112" t="s">
        <v>24</v>
      </c>
      <c r="CO112">
        <f ca="1">COUNTIF(CO2:CO141, "&lt;125.1")</f>
        <v>35</v>
      </c>
      <c r="CP112">
        <f ca="1">COUNTIF(CP2:CP141, "&lt;125.1")</f>
        <v>52</v>
      </c>
      <c r="CQ112">
        <f ca="1">COUNTIF(CQ2:CQ141, "&lt;125.1")</f>
        <v>96</v>
      </c>
    </row>
    <row r="113" spans="7:95" x14ac:dyDescent="0.35">
      <c r="G113" t="s">
        <v>25</v>
      </c>
      <c r="H113">
        <f ca="1">COUNTIF(H2:H141, "&lt;126")</f>
        <v>94</v>
      </c>
      <c r="N113" t="s">
        <v>25</v>
      </c>
      <c r="O113">
        <f ca="1">COUNTIF(O2:O141, "&lt;126")</f>
        <v>93</v>
      </c>
      <c r="U113" t="s">
        <v>25</v>
      </c>
      <c r="V113">
        <f ca="1">COUNTIF(V2:V141, "&lt;126")</f>
        <v>94</v>
      </c>
      <c r="AB113" t="s">
        <v>25</v>
      </c>
      <c r="AC113">
        <f ca="1">COUNTIF(AC2:AC141, "&lt;126")</f>
        <v>90</v>
      </c>
      <c r="AI113" t="s">
        <v>25</v>
      </c>
      <c r="AJ113">
        <f ca="1">COUNTIF(AJ2:AJ141, "&lt;126")</f>
        <v>92</v>
      </c>
      <c r="AP113" t="s">
        <v>25</v>
      </c>
      <c r="AQ113">
        <f ca="1">COUNTIF(AQ2:AQ141, "&lt;126")</f>
        <v>93</v>
      </c>
      <c r="AR113">
        <f ca="1">COUNTIF(AR2:AR141, "&lt;126")</f>
        <v>93</v>
      </c>
      <c r="AX113" t="s">
        <v>25</v>
      </c>
      <c r="AY113">
        <f ca="1">COUNTIF(AY2:AY141, "&lt;126")</f>
        <v>77</v>
      </c>
      <c r="AZ113">
        <f ca="1">COUNTIF(AZ2:AZ141, "&lt;126")</f>
        <v>92</v>
      </c>
      <c r="BF113" t="s">
        <v>25</v>
      </c>
      <c r="BG113">
        <f ca="1">COUNTIF(BG2:BG141, "&lt;126")</f>
        <v>48</v>
      </c>
      <c r="BH113">
        <f ca="1">COUNTIF(BH2:BH141, "&lt;126")</f>
        <v>93</v>
      </c>
      <c r="BN113" t="s">
        <v>25</v>
      </c>
      <c r="BO113">
        <f ca="1">COUNTIF(BO2:BO141, "&lt;126")</f>
        <v>36</v>
      </c>
      <c r="BP113">
        <f ca="1">COUNTIF(BP2:BP141, "&lt;126")</f>
        <v>92</v>
      </c>
      <c r="BV113" t="s">
        <v>25</v>
      </c>
      <c r="BW113">
        <f ca="1">COUNTIF(BW2:BW141, "&lt;126")</f>
        <v>92</v>
      </c>
      <c r="BX113">
        <f ca="1">COUNTIF(BX2:BX141, "&lt;126")</f>
        <v>91</v>
      </c>
      <c r="BY113">
        <f ca="1">COUNTIF(BY2:BY141, "&lt;126")</f>
        <v>65</v>
      </c>
      <c r="CE113" t="s">
        <v>25</v>
      </c>
      <c r="CF113">
        <f ca="1">COUNTIF(CF2:CF141, "&lt;126")</f>
        <v>81</v>
      </c>
      <c r="CG113">
        <f ca="1">COUNTIF(CG2:CG141, "&lt;126")</f>
        <v>80</v>
      </c>
      <c r="CH113">
        <f ca="1">COUNTIF(CH2:CH141, "&lt;126")</f>
        <v>94</v>
      </c>
      <c r="CN113" t="s">
        <v>25</v>
      </c>
      <c r="CO113">
        <f ca="1">COUNTIF(CO2:CO141, "&lt;126")</f>
        <v>45</v>
      </c>
      <c r="CP113">
        <f ca="1">COUNTIF(CP2:CP141, "&lt;126")</f>
        <v>55</v>
      </c>
      <c r="CQ113">
        <f ca="1">COUNTIF(CQ2:CQ141, "&lt;126")</f>
        <v>96</v>
      </c>
    </row>
    <row r="114" spans="7:95" x14ac:dyDescent="0.35">
      <c r="G114" t="s">
        <v>27</v>
      </c>
      <c r="H114">
        <f ca="1">COUNTIF(H2:H141, "&lt;130")</f>
        <v>95</v>
      </c>
      <c r="N114" t="s">
        <v>27</v>
      </c>
      <c r="O114">
        <f ca="1">COUNTIF(O2:O141, "&lt;130")</f>
        <v>95</v>
      </c>
      <c r="U114" t="s">
        <v>27</v>
      </c>
      <c r="V114">
        <f ca="1">COUNTIF(V2:V141, "&lt;130")</f>
        <v>94</v>
      </c>
      <c r="AB114" t="s">
        <v>27</v>
      </c>
      <c r="AC114">
        <f ca="1">COUNTIF(AC2:AC141, "&lt;130")</f>
        <v>91</v>
      </c>
      <c r="AI114" t="s">
        <v>27</v>
      </c>
      <c r="AJ114">
        <f ca="1">COUNTIF(AJ2:AJ141, "&lt;130")</f>
        <v>93</v>
      </c>
      <c r="AP114" t="s">
        <v>27</v>
      </c>
      <c r="AQ114">
        <f ca="1">COUNTIF(AQ2:AQ141, "&lt;130")</f>
        <v>95</v>
      </c>
      <c r="AR114">
        <f ca="1">COUNTIF(AR2:AR141, "&lt;130")</f>
        <v>95</v>
      </c>
      <c r="AX114" t="s">
        <v>27</v>
      </c>
      <c r="AY114">
        <f ca="1">COUNTIF(AY2:AY141, "&lt;130")</f>
        <v>94</v>
      </c>
      <c r="AZ114">
        <f ca="1">COUNTIF(AZ2:AZ141, "&lt;130")</f>
        <v>92</v>
      </c>
      <c r="BF114" t="s">
        <v>27</v>
      </c>
      <c r="BG114">
        <f ca="1">COUNTIF(BG2:BG141, "&lt;130")</f>
        <v>89</v>
      </c>
      <c r="BH114">
        <f ca="1">COUNTIF(BH2:BH141, "&lt;130")</f>
        <v>93</v>
      </c>
      <c r="BN114" t="s">
        <v>27</v>
      </c>
      <c r="BO114">
        <f ca="1">COUNTIF(BO2:BO141, "&lt;130")</f>
        <v>90</v>
      </c>
      <c r="BP114">
        <f ca="1">COUNTIF(BP2:BP141, "&lt;130")</f>
        <v>92</v>
      </c>
      <c r="BV114" t="s">
        <v>27</v>
      </c>
      <c r="BW114">
        <f ca="1">COUNTIF(BW2:BW141, "&lt;130")</f>
        <v>93</v>
      </c>
      <c r="BX114">
        <f ca="1">COUNTIF(BX2:BX141, "&lt;130")</f>
        <v>97</v>
      </c>
      <c r="BY114">
        <f ca="1">COUNTIF(BY2:BY141, "&lt;130")</f>
        <v>96</v>
      </c>
      <c r="CE114" t="s">
        <v>27</v>
      </c>
      <c r="CF114">
        <f ca="1">COUNTIF(CF2:CF141, "&lt;130")</f>
        <v>93</v>
      </c>
      <c r="CG114">
        <f ca="1">COUNTIF(CG2:CG141, "&lt;130")</f>
        <v>94</v>
      </c>
      <c r="CH114">
        <f ca="1">COUNTIF(CH2:CH141, "&lt;130")</f>
        <v>95</v>
      </c>
      <c r="CN114" t="s">
        <v>27</v>
      </c>
      <c r="CO114">
        <f ca="1">COUNTIF(CO2:CO141, "&lt;130")</f>
        <v>87</v>
      </c>
      <c r="CP114">
        <f ca="1">COUNTIF(CP2:CP141, "&lt;130")</f>
        <v>96</v>
      </c>
      <c r="CQ114">
        <f ca="1">COUNTIF(CQ2:CQ141, "&lt;130")</f>
        <v>96</v>
      </c>
    </row>
    <row r="115" spans="7:95" x14ac:dyDescent="0.35">
      <c r="G115" t="s">
        <v>26</v>
      </c>
      <c r="H115">
        <f ca="1">COUNTIF(H2:H141, "&lt;135")</f>
        <v>100</v>
      </c>
      <c r="N115" t="s">
        <v>26</v>
      </c>
      <c r="O115">
        <f ca="1">COUNTIF(O2:O141, "&lt;135")</f>
        <v>100</v>
      </c>
      <c r="U115" t="s">
        <v>26</v>
      </c>
      <c r="V115">
        <f ca="1">COUNTIF(V2:V141, "&lt;135")</f>
        <v>100</v>
      </c>
      <c r="AB115" t="s">
        <v>26</v>
      </c>
      <c r="AC115">
        <f ca="1">COUNTIF(AC2:AC141, "&lt;135")</f>
        <v>100</v>
      </c>
      <c r="AI115" t="s">
        <v>26</v>
      </c>
      <c r="AJ115">
        <f ca="1">COUNTIF(AJ2:AJ141, "&lt;135")</f>
        <v>100</v>
      </c>
      <c r="AP115" t="s">
        <v>26</v>
      </c>
      <c r="AQ115">
        <f ca="1">COUNTIF(AQ2:AQ141, "&lt;135")</f>
        <v>100</v>
      </c>
      <c r="AR115">
        <f ca="1">COUNTIF(AR2:AR141, "&lt;135")</f>
        <v>100</v>
      </c>
      <c r="AX115" t="s">
        <v>26</v>
      </c>
      <c r="AY115">
        <f ca="1">COUNTIF(AY2:AY141, "&lt;135")</f>
        <v>100</v>
      </c>
      <c r="AZ115">
        <f ca="1">COUNTIF(AZ2:AZ141, "&lt;135")</f>
        <v>100</v>
      </c>
      <c r="BF115" t="s">
        <v>26</v>
      </c>
      <c r="BG115">
        <f ca="1">COUNTIF(BG2:BG141, "&lt;135")</f>
        <v>100</v>
      </c>
      <c r="BH115">
        <f ca="1">COUNTIF(BH2:BH141, "&lt;135")</f>
        <v>100</v>
      </c>
      <c r="BN115" t="s">
        <v>26</v>
      </c>
      <c r="BO115">
        <f ca="1">COUNTIF(BO2:BO141, "&lt;135")</f>
        <v>100</v>
      </c>
      <c r="BP115">
        <f ca="1">COUNTIF(BP2:BP141, "&lt;135")</f>
        <v>100</v>
      </c>
      <c r="BV115" t="s">
        <v>26</v>
      </c>
      <c r="BW115">
        <f ca="1">COUNTIF(BW2:BW141, "&lt;135")</f>
        <v>100</v>
      </c>
      <c r="BX115">
        <f ca="1">COUNTIF(BX2:BX141, "&lt;135")</f>
        <v>100</v>
      </c>
      <c r="BY115">
        <f ca="1">COUNTIF(BY2:BY141, "&lt;135")</f>
        <v>100</v>
      </c>
      <c r="CE115" t="s">
        <v>26</v>
      </c>
      <c r="CF115">
        <f ca="1">COUNTIF(CF2:CF141, "&lt;135")</f>
        <v>100</v>
      </c>
      <c r="CG115">
        <f ca="1">COUNTIF(CG2:CG141, "&lt;135")</f>
        <v>100</v>
      </c>
      <c r="CH115">
        <f ca="1">COUNTIF(CH2:CH141, "&lt;135")</f>
        <v>100</v>
      </c>
      <c r="CN115" t="s">
        <v>26</v>
      </c>
      <c r="CO115">
        <f ca="1">COUNTIF(CO2:CO141, "&lt;=135")</f>
        <v>100</v>
      </c>
      <c r="CP115">
        <f ca="1">COUNTIF(CP2:CP141, "&lt;=135")</f>
        <v>100</v>
      </c>
      <c r="CQ115">
        <f ca="1">COUNTIF(CQ2:CQ141, "&lt;=135")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AD4C-C849-42D3-A174-76D0796CB553}">
  <dimension ref="A1:W13"/>
  <sheetViews>
    <sheetView topLeftCell="A4" zoomScale="85" zoomScaleNormal="85" workbookViewId="0">
      <selection activeCell="W13" sqref="A10:W13"/>
    </sheetView>
  </sheetViews>
  <sheetFormatPr defaultRowHeight="14.5" x14ac:dyDescent="0.35"/>
  <sheetData>
    <row r="1" spans="1:23" x14ac:dyDescent="0.35">
      <c r="A1" t="s">
        <v>28</v>
      </c>
      <c r="B1">
        <v>1</v>
      </c>
      <c r="C1">
        <v>1</v>
      </c>
      <c r="D1">
        <v>1</v>
      </c>
      <c r="E1">
        <v>1</v>
      </c>
      <c r="F1">
        <v>1</v>
      </c>
      <c r="G1">
        <v>2</v>
      </c>
      <c r="I1">
        <v>2</v>
      </c>
      <c r="K1">
        <v>2</v>
      </c>
      <c r="M1">
        <v>2</v>
      </c>
      <c r="O1">
        <v>3</v>
      </c>
      <c r="R1">
        <v>3</v>
      </c>
      <c r="U1">
        <v>3</v>
      </c>
    </row>
    <row r="2" spans="1:23" x14ac:dyDescent="0.35">
      <c r="A2" t="s">
        <v>29</v>
      </c>
      <c r="B2">
        <v>1</v>
      </c>
      <c r="C2">
        <v>2</v>
      </c>
      <c r="D2">
        <v>3</v>
      </c>
      <c r="E2">
        <v>4</v>
      </c>
      <c r="F2">
        <v>5</v>
      </c>
      <c r="G2">
        <v>2</v>
      </c>
      <c r="I2">
        <v>3</v>
      </c>
      <c r="K2">
        <v>4</v>
      </c>
      <c r="M2">
        <v>5</v>
      </c>
      <c r="O2">
        <v>3</v>
      </c>
      <c r="R2">
        <v>4</v>
      </c>
      <c r="U2">
        <v>5</v>
      </c>
    </row>
    <row r="3" spans="1:23" x14ac:dyDescent="0.35"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31</v>
      </c>
      <c r="I3" t="s">
        <v>30</v>
      </c>
      <c r="J3" t="s">
        <v>31</v>
      </c>
      <c r="K3" t="s">
        <v>30</v>
      </c>
      <c r="L3" t="s">
        <v>31</v>
      </c>
      <c r="M3" t="s">
        <v>30</v>
      </c>
      <c r="N3" t="s">
        <v>31</v>
      </c>
      <c r="O3" t="s">
        <v>30</v>
      </c>
      <c r="P3" t="s">
        <v>31</v>
      </c>
      <c r="Q3" t="s">
        <v>32</v>
      </c>
      <c r="R3" t="s">
        <v>30</v>
      </c>
      <c r="S3" t="s">
        <v>31</v>
      </c>
      <c r="T3" t="s">
        <v>32</v>
      </c>
      <c r="U3" t="s">
        <v>30</v>
      </c>
      <c r="V3" t="s">
        <v>31</v>
      </c>
      <c r="W3" t="s">
        <v>32</v>
      </c>
    </row>
    <row r="4" spans="1:23" x14ac:dyDescent="0.35">
      <c r="A4" t="s">
        <v>24</v>
      </c>
      <c r="B4">
        <v>94</v>
      </c>
      <c r="C4">
        <v>93</v>
      </c>
      <c r="D4">
        <v>93</v>
      </c>
      <c r="E4">
        <v>90</v>
      </c>
      <c r="F4">
        <v>92</v>
      </c>
      <c r="G4">
        <v>92</v>
      </c>
      <c r="H4">
        <v>92</v>
      </c>
      <c r="I4">
        <v>68</v>
      </c>
      <c r="J4">
        <v>90</v>
      </c>
      <c r="K4">
        <v>44</v>
      </c>
      <c r="L4">
        <v>93</v>
      </c>
      <c r="M4">
        <v>34</v>
      </c>
      <c r="N4">
        <v>91</v>
      </c>
      <c r="O4">
        <v>90</v>
      </c>
      <c r="P4">
        <v>75</v>
      </c>
      <c r="Q4">
        <v>62</v>
      </c>
      <c r="R4">
        <v>63</v>
      </c>
      <c r="S4">
        <v>63</v>
      </c>
      <c r="T4">
        <v>90</v>
      </c>
      <c r="U4">
        <v>35</v>
      </c>
      <c r="V4">
        <v>52</v>
      </c>
      <c r="W4">
        <v>96</v>
      </c>
    </row>
    <row r="5" spans="1:23" x14ac:dyDescent="0.35">
      <c r="A5" t="s">
        <v>25</v>
      </c>
      <c r="B5">
        <v>94</v>
      </c>
      <c r="C5">
        <v>93</v>
      </c>
      <c r="D5">
        <v>94</v>
      </c>
      <c r="E5">
        <v>90</v>
      </c>
      <c r="F5">
        <v>92</v>
      </c>
      <c r="G5">
        <v>93</v>
      </c>
      <c r="H5">
        <v>93</v>
      </c>
      <c r="I5">
        <v>77</v>
      </c>
      <c r="J5">
        <v>92</v>
      </c>
      <c r="K5">
        <v>48</v>
      </c>
      <c r="L5">
        <v>93</v>
      </c>
      <c r="M5">
        <v>36</v>
      </c>
      <c r="N5">
        <v>92</v>
      </c>
      <c r="O5">
        <v>92</v>
      </c>
      <c r="P5">
        <v>91</v>
      </c>
      <c r="Q5">
        <v>65</v>
      </c>
      <c r="R5">
        <v>81</v>
      </c>
      <c r="S5">
        <v>80</v>
      </c>
      <c r="T5">
        <v>94</v>
      </c>
      <c r="U5">
        <v>45</v>
      </c>
      <c r="V5">
        <v>55</v>
      </c>
      <c r="W5">
        <v>96</v>
      </c>
    </row>
    <row r="6" spans="1:23" x14ac:dyDescent="0.35">
      <c r="A6" t="s">
        <v>27</v>
      </c>
      <c r="B6">
        <v>95</v>
      </c>
      <c r="C6">
        <v>95</v>
      </c>
      <c r="D6">
        <v>94</v>
      </c>
      <c r="E6">
        <v>91</v>
      </c>
      <c r="F6">
        <v>93</v>
      </c>
      <c r="G6">
        <v>95</v>
      </c>
      <c r="H6">
        <v>95</v>
      </c>
      <c r="I6">
        <v>94</v>
      </c>
      <c r="J6">
        <v>92</v>
      </c>
      <c r="K6">
        <v>89</v>
      </c>
      <c r="L6">
        <v>93</v>
      </c>
      <c r="M6">
        <v>90</v>
      </c>
      <c r="N6">
        <v>92</v>
      </c>
      <c r="O6">
        <v>93</v>
      </c>
      <c r="P6">
        <v>97</v>
      </c>
      <c r="Q6">
        <v>96</v>
      </c>
      <c r="R6">
        <v>93</v>
      </c>
      <c r="S6">
        <v>94</v>
      </c>
      <c r="T6">
        <v>95</v>
      </c>
      <c r="U6">
        <v>87</v>
      </c>
      <c r="V6">
        <v>96</v>
      </c>
      <c r="W6">
        <v>96</v>
      </c>
    </row>
    <row r="7" spans="1:23" x14ac:dyDescent="0.35">
      <c r="A7" t="s">
        <v>26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10" spans="1:23" x14ac:dyDescent="0.35">
      <c r="A10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I10">
        <v>2</v>
      </c>
      <c r="K10">
        <v>2</v>
      </c>
      <c r="M10">
        <v>2</v>
      </c>
      <c r="O10">
        <v>3</v>
      </c>
      <c r="R10">
        <v>3</v>
      </c>
      <c r="U10">
        <v>3</v>
      </c>
    </row>
    <row r="11" spans="1:23" x14ac:dyDescent="0.35">
      <c r="A11" t="s">
        <v>29</v>
      </c>
      <c r="B11">
        <v>1</v>
      </c>
      <c r="C11">
        <v>2</v>
      </c>
      <c r="D11">
        <v>3</v>
      </c>
      <c r="E11">
        <v>4</v>
      </c>
      <c r="F11">
        <v>5</v>
      </c>
      <c r="G11">
        <v>2</v>
      </c>
      <c r="I11">
        <v>3</v>
      </c>
      <c r="K11">
        <v>4</v>
      </c>
      <c r="M11">
        <v>5</v>
      </c>
      <c r="O11">
        <v>3</v>
      </c>
      <c r="R11">
        <v>4</v>
      </c>
      <c r="U11">
        <v>5</v>
      </c>
    </row>
    <row r="12" spans="1:23" x14ac:dyDescent="0.35"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31</v>
      </c>
      <c r="I12" t="s">
        <v>30</v>
      </c>
      <c r="J12" t="s">
        <v>31</v>
      </c>
      <c r="K12" t="s">
        <v>30</v>
      </c>
      <c r="L12" t="s">
        <v>31</v>
      </c>
      <c r="M12" t="s">
        <v>30</v>
      </c>
      <c r="N12" t="s">
        <v>31</v>
      </c>
      <c r="O12" t="s">
        <v>30</v>
      </c>
      <c r="P12" t="s">
        <v>31</v>
      </c>
      <c r="Q12" t="s">
        <v>32</v>
      </c>
      <c r="R12" t="s">
        <v>30</v>
      </c>
      <c r="S12" t="s">
        <v>31</v>
      </c>
      <c r="T12" t="s">
        <v>32</v>
      </c>
      <c r="U12" t="s">
        <v>30</v>
      </c>
      <c r="V12" t="s">
        <v>31</v>
      </c>
      <c r="W12" t="s">
        <v>32</v>
      </c>
    </row>
    <row r="13" spans="1:23" x14ac:dyDescent="0.35">
      <c r="A13" t="s">
        <v>25</v>
      </c>
      <c r="B13">
        <v>94</v>
      </c>
      <c r="C13">
        <v>93</v>
      </c>
      <c r="D13">
        <v>94</v>
      </c>
      <c r="E13">
        <v>90</v>
      </c>
      <c r="F13">
        <v>92</v>
      </c>
      <c r="G13">
        <v>93</v>
      </c>
      <c r="H13">
        <v>93</v>
      </c>
      <c r="I13">
        <v>77</v>
      </c>
      <c r="J13">
        <v>92</v>
      </c>
      <c r="K13">
        <v>48</v>
      </c>
      <c r="L13">
        <v>93</v>
      </c>
      <c r="M13">
        <v>36</v>
      </c>
      <c r="N13">
        <v>92</v>
      </c>
      <c r="O13">
        <v>92</v>
      </c>
      <c r="P13">
        <v>91</v>
      </c>
      <c r="Q13">
        <v>65</v>
      </c>
      <c r="R13">
        <v>81</v>
      </c>
      <c r="S13">
        <v>80</v>
      </c>
      <c r="T13">
        <v>94</v>
      </c>
      <c r="U13">
        <v>45</v>
      </c>
      <c r="V13">
        <v>55</v>
      </c>
      <c r="W13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FC12-644F-40A5-B93A-11658785628B}">
  <dimension ref="B2:N10"/>
  <sheetViews>
    <sheetView tabSelected="1" zoomScaleNormal="100" workbookViewId="0">
      <selection activeCell="N9" sqref="N9"/>
    </sheetView>
  </sheetViews>
  <sheetFormatPr defaultRowHeight="14.5" x14ac:dyDescent="0.35"/>
  <sheetData>
    <row r="2" spans="2:14" x14ac:dyDescent="0.35">
      <c r="B2" t="s">
        <v>15</v>
      </c>
      <c r="C2">
        <v>1</v>
      </c>
      <c r="D2">
        <v>1</v>
      </c>
      <c r="E2">
        <v>1</v>
      </c>
      <c r="F2">
        <v>1</v>
      </c>
      <c r="G2">
        <v>1</v>
      </c>
      <c r="H2">
        <v>2</v>
      </c>
      <c r="I2">
        <v>2</v>
      </c>
      <c r="J2">
        <v>2</v>
      </c>
      <c r="K2">
        <v>2</v>
      </c>
      <c r="L2">
        <v>3</v>
      </c>
      <c r="M2">
        <v>3</v>
      </c>
      <c r="N2">
        <v>3</v>
      </c>
    </row>
    <row r="3" spans="2:14" x14ac:dyDescent="0.35">
      <c r="B3" t="s">
        <v>16</v>
      </c>
      <c r="C3">
        <v>1</v>
      </c>
      <c r="D3">
        <v>2</v>
      </c>
      <c r="E3">
        <v>3</v>
      </c>
      <c r="F3">
        <v>4</v>
      </c>
      <c r="G3">
        <v>5</v>
      </c>
      <c r="H3">
        <v>2</v>
      </c>
      <c r="I3">
        <v>3</v>
      </c>
      <c r="J3">
        <v>4</v>
      </c>
      <c r="K3">
        <v>5</v>
      </c>
      <c r="L3">
        <v>3</v>
      </c>
      <c r="M3">
        <v>4</v>
      </c>
      <c r="N3">
        <v>5</v>
      </c>
    </row>
    <row r="4" spans="2:14" x14ac:dyDescent="0.35">
      <c r="B4" t="s">
        <v>17</v>
      </c>
      <c r="C4" s="1">
        <f>'All runs'!G103</f>
        <v>98.905904030000272</v>
      </c>
      <c r="D4" s="1">
        <f>'All runs'!N103</f>
        <v>203.35561613999914</v>
      </c>
      <c r="E4" s="1">
        <f>'All runs'!U103</f>
        <v>364.4614231099996</v>
      </c>
      <c r="F4" s="1">
        <f>'All runs'!AB103</f>
        <v>459.21788822999997</v>
      </c>
      <c r="G4" s="1">
        <f>'All runs'!AI103</f>
        <v>723.83250338999972</v>
      </c>
      <c r="H4" s="1">
        <f>'All runs'!AP103</f>
        <v>319.24449167000091</v>
      </c>
      <c r="I4" s="1">
        <f>'All runs'!AW103</f>
        <v>1585.4658593320846</v>
      </c>
      <c r="J4" s="1">
        <f>'All runs'!BE103</f>
        <v>956.14206417083744</v>
      </c>
      <c r="K4" s="1">
        <f>'All runs'!BM103</f>
        <v>915.49903965950011</v>
      </c>
      <c r="L4" s="1">
        <f>'All runs'!BU103</f>
        <v>817.09253066778183</v>
      </c>
      <c r="M4" s="1">
        <f>'All runs'!CD103</f>
        <v>2416.466632347107</v>
      </c>
      <c r="N4" s="1">
        <f>'All runs'!CN103</f>
        <v>1607.7007379000015</v>
      </c>
    </row>
    <row r="5" spans="2:14" x14ac:dyDescent="0.35">
      <c r="B5" t="s">
        <v>18</v>
      </c>
      <c r="C5" s="1">
        <f>'All runs'!G104</f>
        <v>157.68610560278017</v>
      </c>
      <c r="D5" s="1">
        <f>'All runs'!N104</f>
        <v>249.9178015713197</v>
      </c>
      <c r="E5" s="1">
        <f>'All runs'!U104</f>
        <v>517.96560928381359</v>
      </c>
      <c r="F5" s="1">
        <f>'All runs'!AB104</f>
        <v>648.90103340284384</v>
      </c>
      <c r="G5" s="1">
        <f>'All runs'!AI104</f>
        <v>1050.0650973743398</v>
      </c>
      <c r="H5" s="1">
        <f>'All runs'!AP104</f>
        <v>281.2248354750364</v>
      </c>
      <c r="I5" s="1">
        <f>'All runs'!AW104</f>
        <v>5360.4549402071916</v>
      </c>
      <c r="J5" s="1">
        <f>'All runs'!BE104</f>
        <v>3021.3938441377481</v>
      </c>
      <c r="K5" s="1">
        <f>'All runs'!BM104</f>
        <v>746.00641015052054</v>
      </c>
      <c r="L5" s="1">
        <f>'All runs'!BU104</f>
        <v>601.4187852225657</v>
      </c>
      <c r="M5" s="1">
        <f>'All runs'!CD104</f>
        <v>7264.7273899676538</v>
      </c>
      <c r="N5" s="1">
        <f>'All runs'!CN104</f>
        <v>4519.0281928301174</v>
      </c>
    </row>
    <row r="6" spans="2:14" x14ac:dyDescent="0.35">
      <c r="B6" t="s">
        <v>19</v>
      </c>
      <c r="C6" s="1">
        <f>'All runs'!G105</f>
        <v>7.50475699999879</v>
      </c>
      <c r="D6" s="1">
        <f>'All runs'!N105</f>
        <v>23.36587999999756</v>
      </c>
      <c r="E6" s="1">
        <f>'All runs'!U105</f>
        <v>28.676102000001265</v>
      </c>
      <c r="F6" s="1">
        <f>'All runs'!AB105</f>
        <v>52.142300999999861</v>
      </c>
      <c r="G6" s="1">
        <f>'All runs'!AI105</f>
        <v>76.929245999999694</v>
      </c>
      <c r="H6" s="1">
        <f>'All runs'!AP105</f>
        <v>68.611082999996142</v>
      </c>
      <c r="I6" s="1">
        <f>'All runs'!AW105</f>
        <v>71.675092935562134</v>
      </c>
      <c r="J6" s="1">
        <f>'All runs'!BE105</f>
        <v>157.73307204246521</v>
      </c>
      <c r="K6" s="1">
        <f>'All runs'!BM105</f>
        <v>248.9054811000824</v>
      </c>
      <c r="L6" s="1">
        <f>'All runs'!BU105</f>
        <v>249.64955282211304</v>
      </c>
      <c r="M6" s="1">
        <f>'All runs'!CD105</f>
        <v>327.41468906402588</v>
      </c>
      <c r="N6" s="1">
        <f>'All runs'!CN105</f>
        <v>332.75979499999085</v>
      </c>
    </row>
    <row r="7" spans="2:14" x14ac:dyDescent="0.35">
      <c r="B7" t="s">
        <v>20</v>
      </c>
      <c r="C7" s="1">
        <f>'All runs'!G106</f>
        <v>32.210886000002574</v>
      </c>
      <c r="D7" s="1">
        <f>'All runs'!N106</f>
        <v>71.755111249992751</v>
      </c>
      <c r="E7" s="1">
        <f>'All runs'!U106</f>
        <v>143.51178525000068</v>
      </c>
      <c r="F7" s="1">
        <f>'All runs'!AB106</f>
        <v>216.96623825000461</v>
      </c>
      <c r="G7" s="1">
        <f>'All runs'!AI106</f>
        <v>289.85901100000592</v>
      </c>
      <c r="H7" s="1">
        <f>'All runs'!AP106</f>
        <v>161.49711074999141</v>
      </c>
      <c r="I7" s="1">
        <f>'All runs'!AW106</f>
        <v>283.07883989810944</v>
      </c>
      <c r="J7" s="1">
        <f>'All runs'!BE106</f>
        <v>388.95144975185394</v>
      </c>
      <c r="K7" s="1">
        <f>'All runs'!BM106</f>
        <v>532.8010488152504</v>
      </c>
      <c r="L7" s="1">
        <f>'All runs'!BU106</f>
        <v>397.53511357307434</v>
      </c>
      <c r="M7" s="1">
        <f>'All runs'!CD106</f>
        <v>591.6661975979805</v>
      </c>
      <c r="N7" s="1">
        <f>'All runs'!CN106</f>
        <v>667.1823197500089</v>
      </c>
    </row>
    <row r="8" spans="2:14" x14ac:dyDescent="0.35">
      <c r="B8" t="s">
        <v>21</v>
      </c>
      <c r="C8" s="1">
        <f>'All runs'!G107</f>
        <v>55.804371500009438</v>
      </c>
      <c r="D8" s="1">
        <f>'All runs'!N107</f>
        <v>126.53385449999405</v>
      </c>
      <c r="E8" s="1">
        <f>'All runs'!U107</f>
        <v>209.88450450000528</v>
      </c>
      <c r="F8" s="1">
        <f>'All runs'!AB107</f>
        <v>299.40912649999973</v>
      </c>
      <c r="G8" s="1">
        <f>'All runs'!AI107</f>
        <v>396.48625000000175</v>
      </c>
      <c r="H8" s="1">
        <f>'All runs'!AP107</f>
        <v>216.09951899999942</v>
      </c>
      <c r="I8" s="1">
        <f>'All runs'!AW107</f>
        <v>363.36839354038239</v>
      </c>
      <c r="J8" s="1">
        <f>'All runs'!BE107</f>
        <v>517.62901151180267</v>
      </c>
      <c r="K8" s="1">
        <f>'All runs'!BM107</f>
        <v>680.86078894138336</v>
      </c>
      <c r="L8" s="1">
        <f>'All runs'!BU107</f>
        <v>604.58988559246063</v>
      </c>
      <c r="M8" s="1">
        <f>'All runs'!CD107</f>
        <v>739.44537496566772</v>
      </c>
      <c r="N8" s="1">
        <f>'All runs'!CN107</f>
        <v>841.67060450000099</v>
      </c>
    </row>
    <row r="9" spans="2:14" x14ac:dyDescent="0.35">
      <c r="B9" t="s">
        <v>22</v>
      </c>
      <c r="C9" s="1">
        <f>'All runs'!G108</f>
        <v>86.929732249994686</v>
      </c>
      <c r="D9" s="1">
        <f>'All runs'!N108</f>
        <v>209.01088449999929</v>
      </c>
      <c r="E9" s="1">
        <f>'All runs'!U108</f>
        <v>324.86707924999791</v>
      </c>
      <c r="F9" s="1">
        <f>'All runs'!AB108</f>
        <v>413.88925649999328</v>
      </c>
      <c r="G9" s="1">
        <f>'All runs'!AI108</f>
        <v>605.92540750000444</v>
      </c>
      <c r="H9" s="1">
        <f>'All runs'!AP108</f>
        <v>337.24467424999943</v>
      </c>
      <c r="I9" s="1">
        <f>'All runs'!AW108</f>
        <v>511.10484021902084</v>
      </c>
      <c r="J9" s="1">
        <f>'All runs'!BE108</f>
        <v>756.99837809801102</v>
      </c>
      <c r="K9" s="1">
        <f>'All runs'!BM108</f>
        <v>918.39385420084</v>
      </c>
      <c r="L9" s="1">
        <f>'All runs'!BU108</f>
        <v>962.90250432491302</v>
      </c>
      <c r="M9" s="1">
        <f>'All runs'!CD108</f>
        <v>1344.6949249505997</v>
      </c>
      <c r="N9" s="1">
        <f>'All runs'!CN108</f>
        <v>1261.8800480000027</v>
      </c>
    </row>
    <row r="10" spans="2:14" x14ac:dyDescent="0.35">
      <c r="B10" t="s">
        <v>23</v>
      </c>
      <c r="C10" s="1">
        <f>'All runs'!G109</f>
        <v>1046.9056449999998</v>
      </c>
      <c r="D10" s="1">
        <f>'All runs'!N109</f>
        <v>1552.8112169999986</v>
      </c>
      <c r="E10" s="1">
        <f>'All runs'!U109</f>
        <v>3387.0938649999989</v>
      </c>
      <c r="F10" s="1">
        <f>'All runs'!AB109</f>
        <v>4925.9897670000064</v>
      </c>
      <c r="G10" s="1">
        <f>'All runs'!AI109</f>
        <v>7000.7289159999982</v>
      </c>
      <c r="H10" s="1">
        <f>'All runs'!AP109</f>
        <v>1672.7665220000017</v>
      </c>
      <c r="I10" s="1">
        <f>'All runs'!AW109</f>
        <v>28779.801987171173</v>
      </c>
      <c r="J10" s="1">
        <f>'All runs'!BE109</f>
        <v>30582.053279161453</v>
      </c>
      <c r="K10" s="1">
        <f>'All runs'!BM109</f>
        <v>4600.9534518718719</v>
      </c>
      <c r="L10" s="1">
        <f>'All runs'!BU109</f>
        <v>3276.880744934082</v>
      </c>
      <c r="M10" s="1">
        <f>'All runs'!CD109</f>
        <v>45868.141952991486</v>
      </c>
      <c r="N10" s="1">
        <f>'All runs'!CN109</f>
        <v>45326.443585000001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8938-77AB-46CF-968A-3859981E2D76}">
  <dimension ref="B2:F8"/>
  <sheetViews>
    <sheetView workbookViewId="0">
      <selection activeCell="J13" sqref="J13"/>
    </sheetView>
  </sheetViews>
  <sheetFormatPr defaultRowHeight="14.5" x14ac:dyDescent="0.35"/>
  <sheetData>
    <row r="2" spans="2:6" x14ac:dyDescent="0.35">
      <c r="C2" s="4" t="s">
        <v>34</v>
      </c>
      <c r="D2" s="4"/>
      <c r="E2" s="4"/>
      <c r="F2" s="4"/>
    </row>
    <row r="3" spans="2:6" x14ac:dyDescent="0.35">
      <c r="B3" s="5" t="s">
        <v>35</v>
      </c>
      <c r="C3" s="2"/>
      <c r="D3" s="2">
        <v>1</v>
      </c>
      <c r="E3" s="2">
        <v>2</v>
      </c>
      <c r="F3" s="2">
        <v>3</v>
      </c>
    </row>
    <row r="4" spans="2:6" x14ac:dyDescent="0.35">
      <c r="B4" s="6"/>
      <c r="C4" s="2">
        <v>1</v>
      </c>
      <c r="D4" s="2">
        <f>'All runs'!F110</f>
        <v>2</v>
      </c>
      <c r="E4" s="3"/>
      <c r="F4" s="3"/>
    </row>
    <row r="5" spans="2:6" x14ac:dyDescent="0.35">
      <c r="B5" s="6"/>
      <c r="C5" s="2">
        <v>2</v>
      </c>
      <c r="D5" s="2">
        <f>'All runs'!M110</f>
        <v>6</v>
      </c>
      <c r="E5" s="2">
        <f>'All runs'!AO110</f>
        <v>8</v>
      </c>
      <c r="F5" s="3"/>
    </row>
    <row r="6" spans="2:6" x14ac:dyDescent="0.35">
      <c r="B6" s="6"/>
      <c r="C6" s="2">
        <v>3</v>
      </c>
      <c r="D6" s="2">
        <f>'All runs'!AA110</f>
        <v>10</v>
      </c>
      <c r="E6" s="2">
        <f>'All runs'!AW110</f>
        <v>15</v>
      </c>
      <c r="F6" s="2">
        <f>'All runs'!BU110</f>
        <v>40</v>
      </c>
    </row>
    <row r="7" spans="2:6" x14ac:dyDescent="0.35">
      <c r="B7" s="6"/>
      <c r="C7" s="2">
        <v>4</v>
      </c>
      <c r="D7" s="2">
        <f>'All runs'!AA110</f>
        <v>10</v>
      </c>
      <c r="E7" s="2">
        <f>'All runs'!BE110</f>
        <v>25</v>
      </c>
      <c r="F7" s="2">
        <f>'All runs'!CD110</f>
        <v>48</v>
      </c>
    </row>
    <row r="8" spans="2:6" x14ac:dyDescent="0.35">
      <c r="B8" s="7"/>
      <c r="C8" s="2">
        <v>5</v>
      </c>
      <c r="D8" s="2">
        <f>'All runs'!AH110</f>
        <v>22</v>
      </c>
      <c r="E8" s="2">
        <f>'All runs'!BM110</f>
        <v>40</v>
      </c>
      <c r="F8" s="2">
        <f>'All runs'!CM110</f>
        <v>61</v>
      </c>
    </row>
  </sheetData>
  <mergeCells count="2">
    <mergeCell ref="C2:F2"/>
    <mergeCell ref="B3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Sheet2</vt:lpstr>
      <vt:lpstr>Summary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Lochner, MD, Mr [25262718@sun.ac.za]</dc:creator>
  <cp:lastModifiedBy>Lochner, MD, Mr [25262718@sun.ac.za]</cp:lastModifiedBy>
  <dcterms:created xsi:type="dcterms:W3CDTF">2026-08-14T09:27:13Z</dcterms:created>
  <dcterms:modified xsi:type="dcterms:W3CDTF">2026-10-28T14:18:06Z</dcterms:modified>
</cp:coreProperties>
</file>